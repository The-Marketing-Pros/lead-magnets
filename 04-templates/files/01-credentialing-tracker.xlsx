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Tracker" sheetId="2" state="visible" r:id="rId2"/>
    <sheet name="📖 Legend &amp; 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&quot; days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94A3B8"/>
      <sz val="10"/>
    </font>
    <font>
      <name val="Calibri"/>
      <b val="1"/>
      <color rgb="00BFDBFE"/>
      <sz val="8"/>
    </font>
    <font>
      <name val="Calibri"/>
      <b val="1"/>
      <color rgb="00FFFFFF"/>
      <sz val="22"/>
    </font>
    <font>
      <name val="Calibri"/>
      <i val="1"/>
      <color rgb="001E40AF"/>
      <sz val="10"/>
    </font>
    <font>
      <name val="Calibri"/>
      <b val="1"/>
      <color rgb="00FFFFFF"/>
      <sz val="14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B3A6B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94A3B8"/>
      <sz val="10"/>
    </font>
    <font>
      <name val="Calibri"/>
      <b val="1"/>
      <color rgb="001E40AF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065F46"/>
      <sz val="10"/>
    </font>
    <font>
      <name val="Calibri"/>
      <b val="1"/>
      <color rgb="007F1D1D"/>
      <sz val="10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E6B4A"/>
      </patternFill>
    </fill>
    <fill>
      <patternFill patternType="solid">
        <fgColor rgb="001D4ED8"/>
      </patternFill>
    </fill>
    <fill>
      <patternFill patternType="solid">
        <fgColor rgb="00B91C1C"/>
      </patternFill>
    </fill>
    <fill>
      <patternFill patternType="solid">
        <fgColor rgb="0092400E"/>
      </patternFill>
    </fill>
    <fill>
      <patternFill patternType="solid">
        <fgColor rgb="00EFF6FF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165" fontId="9" fillId="0" borderId="1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6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Calibri"/>
        <b val="1"/>
        <color rgb="00065F46"/>
        <sz val="10"/>
      </font>
      <fill>
        <patternFill patternType="solid">
          <fgColor rgb="00D1FAE5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</patternFill>
      </fill>
    </dxf>
    <dxf>
      <font>
        <name val="Calibri"/>
        <b val="1"/>
        <color rgb="0092400E"/>
        <sz val="10"/>
      </font>
      <fill>
        <patternFill patternType="solid">
          <fgColor rgb="00FEF3C7"/>
        </patternFill>
      </fill>
    </dxf>
    <dxf>
      <font>
        <name val="Calibri"/>
        <color rgb="00991B1B"/>
        <sz val="10"/>
      </font>
      <fill>
        <patternFill patternType="solid">
          <fgColor rgb="00FFF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40" customHeight="1">
      <c r="B2" s="1" t="inlineStr">
        <is>
          <t>PROVIDER CREDENTIALING TRACKER</t>
        </is>
      </c>
    </row>
    <row r="3" ht="18" customHeight="1">
      <c r="B3" s="2" t="inlineStr">
        <is>
          <t>Riverside Medical Group  ·  Sample Data — Replace with your practice name  ·  Last updated: auto</t>
        </is>
      </c>
    </row>
    <row r="5" ht="16" customHeight="1">
      <c r="B5" s="3" t="inlineStr">
        <is>
          <t>TOTAL APPLICATIONS</t>
        </is>
      </c>
      <c r="D5" s="4" t="inlineStr">
        <is>
          <t>✅ APPROVED</t>
        </is>
      </c>
      <c r="F5" s="5" t="inlineStr">
        <is>
          <t>⏳ PENDING</t>
        </is>
      </c>
      <c r="H5" s="6" t="inlineStr">
        <is>
          <t>🚨 ACTION NEEDED</t>
        </is>
      </c>
      <c r="J5" s="7" t="inlineStr">
        <is>
          <t>📆 OVERDUE FOLLOW-UPS</t>
        </is>
      </c>
    </row>
    <row r="6" ht="36" customHeight="1">
      <c r="B6" s="8">
        <f>COUNTA(Tracker!B5:B1000)</f>
        <v/>
      </c>
      <c r="D6" s="9">
        <f>COUNTIF(Tracker!G5:G1000,"Approved")</f>
        <v/>
      </c>
      <c r="F6" s="10">
        <f>COUNTIF(Tracker!G5:G1000,"Pending")</f>
        <v/>
      </c>
      <c r="H6" s="11">
        <f>COUNTIF(Tracker!G5:G1000,"Info Requested")</f>
        <v/>
      </c>
      <c r="J6" s="12">
        <f>COUNTIF(Tracker!I5:I1000,"&lt;"&amp;TODAY())</f>
        <v/>
      </c>
    </row>
    <row r="8" ht="20" customHeight="1">
      <c r="B8" s="13" t="inlineStr">
        <is>
          <t>→  Go to the Tracker tab to enter applications.  Status dropdowns, overdue flags, and all KPIs above update automatically.</t>
        </is>
      </c>
    </row>
  </sheetData>
  <mergeCells count="13">
    <mergeCell ref="D6:E6"/>
    <mergeCell ref="B6:C6"/>
    <mergeCell ref="H6:I6"/>
    <mergeCell ref="B8:K8"/>
    <mergeCell ref="J5:K5"/>
    <mergeCell ref="J6:K6"/>
    <mergeCell ref="B5:C5"/>
    <mergeCell ref="F5:G5"/>
    <mergeCell ref="D5:E5"/>
    <mergeCell ref="F6:G6"/>
    <mergeCell ref="H5:I5"/>
    <mergeCell ref="B2:K2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  <col width="12" customWidth="1" min="9" max="9"/>
    <col width="16" customWidth="1" min="10" max="10"/>
    <col width="16" customWidth="1" min="11" max="11"/>
    <col width="14" customWidth="1" min="12" max="12"/>
    <col width="14" customWidth="1" min="13" max="13"/>
    <col width="28" customWidth="1" min="14" max="14"/>
  </cols>
  <sheetData>
    <row r="1" ht="32" customHeight="1">
      <c r="A1" s="14" t="inlineStr">
        <is>
          <t>CREDENTIALING APPLICATION TRACKER</t>
        </is>
      </c>
    </row>
    <row r="2" ht="16" customHeight="1">
      <c r="A2" s="15" t="inlineStr">
        <is>
          <t>Enter one row per payer per provider. Status dropdown auto-updates KPIs on Dashboard. Overdue = Follow-Up Date &lt; Today.</t>
        </is>
      </c>
    </row>
    <row r="3" ht="8" customHeight="1"/>
    <row r="4" ht="24" customHeight="1">
      <c r="A4" s="16" t="inlineStr">
        <is>
          <t>PROVIDER NAME</t>
        </is>
      </c>
      <c r="B4" s="16" t="inlineStr">
        <is>
          <t>NPI</t>
        </is>
      </c>
      <c r="C4" s="16" t="inlineStr">
        <is>
          <t>PAYER</t>
        </is>
      </c>
      <c r="D4" s="16" t="inlineStr">
        <is>
          <t>APP TYPE</t>
        </is>
      </c>
      <c r="E4" s="16" t="inlineStr">
        <is>
          <t>DATE SUBMITTED</t>
        </is>
      </c>
      <c r="F4" s="16" t="inlineStr">
        <is>
          <t>DAYS SINCE SUB</t>
        </is>
      </c>
      <c r="G4" s="16" t="inlineStr">
        <is>
          <t>STATUS</t>
        </is>
      </c>
      <c r="H4" s="16" t="inlineStr">
        <is>
          <t>FOLLOW-UP DATE</t>
        </is>
      </c>
      <c r="I4" s="16" t="inlineStr">
        <is>
          <t>OVERDUE?</t>
        </is>
      </c>
      <c r="J4" s="16" t="inlineStr">
        <is>
          <t>TARGET EFFECTIVE</t>
        </is>
      </c>
      <c r="K4" s="16" t="inlineStr">
        <is>
          <t>ACTUAL EFFECTIVE</t>
        </is>
      </c>
      <c r="L4" s="16" t="inlineStr">
        <is>
          <t>CONTRACT RATE</t>
        </is>
      </c>
      <c r="M4" s="16" t="inlineStr">
        <is>
          <t>ANNUAL IMPACT</t>
        </is>
      </c>
      <c r="N4" s="16" t="inlineStr">
        <is>
          <t>NOTES</t>
        </is>
      </c>
    </row>
    <row r="5" ht="20" customHeight="1">
      <c r="A5" s="17" t="inlineStr">
        <is>
          <t>Dr. Sarah Chen, MD</t>
        </is>
      </c>
      <c r="B5" s="17" t="inlineStr">
        <is>
          <t>1234567890</t>
        </is>
      </c>
      <c r="C5" s="17" t="inlineStr">
        <is>
          <t>Medicare (PECOS)</t>
        </is>
      </c>
      <c r="D5" s="17" t="inlineStr">
        <is>
          <t>Initial Enrollment</t>
        </is>
      </c>
      <c r="E5" s="18" t="n">
        <v>46176</v>
      </c>
      <c r="F5" s="19">
        <f>IF(E5="","",TODAY()-E5)</f>
        <v/>
      </c>
      <c r="G5" s="17" t="inlineStr">
        <is>
          <t>Pending</t>
        </is>
      </c>
      <c r="H5" s="18" t="n">
        <v>46197</v>
      </c>
      <c r="I5" s="20">
        <f>IF(H5="","",IF(AND(H5&lt;TODAY(),G5&lt;&gt;"Approved"),"⚠️ OVERDUE","OK"))</f>
        <v/>
      </c>
      <c r="J5" s="17" t="n"/>
      <c r="K5" s="17" t="n"/>
      <c r="L5" s="17" t="n"/>
      <c r="M5" s="17" t="n"/>
      <c r="N5" s="17" t="inlineStr">
        <is>
          <t>PECOS #45921</t>
        </is>
      </c>
    </row>
    <row r="6" ht="20" customHeight="1">
      <c r="A6" s="17" t="inlineStr">
        <is>
          <t>Dr. Sarah Chen, MD</t>
        </is>
      </c>
      <c r="B6" s="17" t="inlineStr">
        <is>
          <t>1234567890</t>
        </is>
      </c>
      <c r="C6" s="17" t="inlineStr">
        <is>
          <t>BCBS Tennessee</t>
        </is>
      </c>
      <c r="D6" s="17" t="inlineStr">
        <is>
          <t>Commercial</t>
        </is>
      </c>
      <c r="E6" s="18" t="n">
        <v>46178</v>
      </c>
      <c r="F6" s="19">
        <f>IF(E6="","",TODAY()-E6)</f>
        <v/>
      </c>
      <c r="G6" s="17" t="inlineStr">
        <is>
          <t>Info Requested</t>
        </is>
      </c>
      <c r="H6" s="18" t="n">
        <v>46180</v>
      </c>
      <c r="I6" s="20">
        <f>IF(H6="","",IF(AND(H6&lt;TODAY(),G6&lt;&gt;"Approved"),"⚠️ OVERDUE","OK"))</f>
        <v/>
      </c>
      <c r="J6" s="17" t="n"/>
      <c r="K6" s="17" t="n"/>
      <c r="L6" s="17" t="n"/>
      <c r="M6" s="17" t="n"/>
      <c r="N6" s="17" t="inlineStr">
        <is>
          <t>AIR: needs updated CV</t>
        </is>
      </c>
    </row>
    <row r="7" ht="20" customHeight="1">
      <c r="A7" s="17" t="inlineStr">
        <is>
          <t>Dr. Sarah Chen, MD</t>
        </is>
      </c>
      <c r="B7" s="17" t="inlineStr">
        <is>
          <t>1234567890</t>
        </is>
      </c>
      <c r="C7" s="17" t="inlineStr">
        <is>
          <t>Aetna</t>
        </is>
      </c>
      <c r="D7" s="17" t="inlineStr">
        <is>
          <t>Commercial</t>
        </is>
      </c>
      <c r="E7" s="18" t="n">
        <v>46170</v>
      </c>
      <c r="F7" s="19">
        <f>IF(E7="","",TODAY()-E7)</f>
        <v/>
      </c>
      <c r="G7" s="17" t="inlineStr">
        <is>
          <t>Approved</t>
        </is>
      </c>
      <c r="H7" s="17" t="n"/>
      <c r="I7" s="20">
        <f>IF(H7="","",IF(AND(H7&lt;TODAY(),G7&lt;&gt;"Approved"),"⚠️ OVERDUE","OK"))</f>
        <v/>
      </c>
      <c r="J7" s="18" t="n">
        <v>46204</v>
      </c>
      <c r="K7" s="18" t="n">
        <v>46204</v>
      </c>
      <c r="L7" s="17" t="inlineStr">
        <is>
          <t>105% Medicare</t>
        </is>
      </c>
      <c r="M7" s="17" t="n">
        <v>840000</v>
      </c>
      <c r="N7" s="17" t="inlineStr">
        <is>
          <t>Test claim OK</t>
        </is>
      </c>
    </row>
    <row r="8" ht="20" customHeight="1">
      <c r="A8" s="17" t="inlineStr">
        <is>
          <t>Dr. Marcus Webb, DO</t>
        </is>
      </c>
      <c r="B8" s="17" t="inlineStr">
        <is>
          <t>9876543210</t>
        </is>
      </c>
      <c r="C8" s="17" t="inlineStr">
        <is>
          <t>UnitedHealthcare</t>
        </is>
      </c>
      <c r="D8" s="17" t="inlineStr">
        <is>
          <t>Commercial</t>
        </is>
      </c>
      <c r="E8" s="18" t="n">
        <v>46183</v>
      </c>
      <c r="F8" s="19">
        <f>IF(E8="","",TODAY()-E8)</f>
        <v/>
      </c>
      <c r="G8" s="17" t="inlineStr">
        <is>
          <t>Pending</t>
        </is>
      </c>
      <c r="H8" s="18" t="n">
        <v>46204</v>
      </c>
      <c r="I8" s="20">
        <f>IF(H8="","",IF(AND(H8&lt;TODAY(),G8&lt;&gt;"Approved"),"⚠️ OVERDUE","OK"))</f>
        <v/>
      </c>
      <c r="J8" s="17" t="n"/>
      <c r="K8" s="17" t="n"/>
      <c r="L8" s="17" t="n"/>
      <c r="M8" s="17" t="n"/>
      <c r="N8" s="17" t="inlineStr">
        <is>
          <t>Portal ref UHC-88241</t>
        </is>
      </c>
    </row>
    <row r="9" ht="20" customHeight="1">
      <c r="A9" s="17" t="inlineStr">
        <is>
          <t>Dr. Marcus Webb, DO</t>
        </is>
      </c>
      <c r="B9" s="17" t="inlineStr">
        <is>
          <t>9876543210</t>
        </is>
      </c>
      <c r="C9" s="17" t="inlineStr">
        <is>
          <t>Cigna</t>
        </is>
      </c>
      <c r="D9" s="17" t="inlineStr">
        <is>
          <t>Commercial</t>
        </is>
      </c>
      <c r="E9" s="18" t="n">
        <v>46183</v>
      </c>
      <c r="F9" s="19">
        <f>IF(E9="","",TODAY()-E9)</f>
        <v/>
      </c>
      <c r="G9" s="17" t="inlineStr">
        <is>
          <t>Submitted</t>
        </is>
      </c>
      <c r="H9" s="18" t="n">
        <v>46204</v>
      </c>
      <c r="I9" s="20">
        <f>IF(H9="","",IF(AND(H9&lt;TODAY(),G9&lt;&gt;"Approved"),"⚠️ OVERDUE","OK"))</f>
        <v/>
      </c>
      <c r="J9" s="17" t="n"/>
      <c r="K9" s="17" t="n"/>
      <c r="L9" s="17" t="n"/>
      <c r="M9" s="17" t="n"/>
      <c r="N9" s="17" t="inlineStr">
        <is>
          <t>Fax confirmation received</t>
        </is>
      </c>
    </row>
    <row r="10" ht="18" customHeight="1">
      <c r="A10" s="17" t="n"/>
      <c r="B10" s="17" t="n"/>
      <c r="C10" s="17" t="n"/>
      <c r="D10" s="17" t="n"/>
      <c r="E10" s="17" t="n"/>
      <c r="F10" s="21">
        <f>IF(E10="","",TODAY()-E10)</f>
        <v/>
      </c>
      <c r="G10" s="17" t="n"/>
      <c r="H10" s="17" t="n"/>
      <c r="I10" s="22">
        <f>IF(H10="","",IF(AND(H10&lt;TODAY(),G10&lt;&gt;"Approved"),"⚠️ OVERDUE","OK"))</f>
        <v/>
      </c>
      <c r="J10" s="17" t="n"/>
      <c r="K10" s="17" t="n"/>
      <c r="L10" s="17" t="n"/>
      <c r="M10" s="17" t="n"/>
      <c r="N10" s="17" t="n"/>
    </row>
    <row r="11" ht="18" customHeight="1">
      <c r="A11" s="17" t="n"/>
      <c r="B11" s="17" t="n"/>
      <c r="C11" s="17" t="n"/>
      <c r="D11" s="17" t="n"/>
      <c r="E11" s="17" t="n"/>
      <c r="F11" s="21">
        <f>IF(E11="","",TODAY()-E11)</f>
        <v/>
      </c>
      <c r="G11" s="17" t="n"/>
      <c r="H11" s="17" t="n"/>
      <c r="I11" s="22">
        <f>IF(H11="","",IF(AND(H11&lt;TODAY(),G11&lt;&gt;"Approved"),"⚠️ OVERDUE","OK"))</f>
        <v/>
      </c>
      <c r="J11" s="17" t="n"/>
      <c r="K11" s="17" t="n"/>
      <c r="L11" s="17" t="n"/>
      <c r="M11" s="17" t="n"/>
      <c r="N11" s="17" t="n"/>
    </row>
    <row r="12" ht="18" customHeight="1">
      <c r="A12" s="17" t="n"/>
      <c r="B12" s="17" t="n"/>
      <c r="C12" s="17" t="n"/>
      <c r="D12" s="17" t="n"/>
      <c r="E12" s="17" t="n"/>
      <c r="F12" s="21">
        <f>IF(E12="","",TODAY()-E12)</f>
        <v/>
      </c>
      <c r="G12" s="17" t="n"/>
      <c r="H12" s="17" t="n"/>
      <c r="I12" s="22">
        <f>IF(H12="","",IF(AND(H12&lt;TODAY(),G12&lt;&gt;"Approved"),"⚠️ OVERDUE","OK"))</f>
        <v/>
      </c>
      <c r="J12" s="17" t="n"/>
      <c r="K12" s="17" t="n"/>
      <c r="L12" s="17" t="n"/>
      <c r="M12" s="17" t="n"/>
      <c r="N12" s="17" t="n"/>
    </row>
    <row r="13" ht="18" customHeight="1">
      <c r="A13" s="17" t="n"/>
      <c r="B13" s="17" t="n"/>
      <c r="C13" s="17" t="n"/>
      <c r="D13" s="17" t="n"/>
      <c r="E13" s="17" t="n"/>
      <c r="F13" s="21">
        <f>IF(E13="","",TODAY()-E13)</f>
        <v/>
      </c>
      <c r="G13" s="17" t="n"/>
      <c r="H13" s="17" t="n"/>
      <c r="I13" s="22">
        <f>IF(H13="","",IF(AND(H13&lt;TODAY(),G13&lt;&gt;"Approved"),"⚠️ OVERDUE","OK"))</f>
        <v/>
      </c>
      <c r="J13" s="17" t="n"/>
      <c r="K13" s="17" t="n"/>
      <c r="L13" s="17" t="n"/>
      <c r="M13" s="17" t="n"/>
      <c r="N13" s="17" t="n"/>
    </row>
    <row r="14" ht="18" customHeight="1">
      <c r="A14" s="17" t="n"/>
      <c r="B14" s="17" t="n"/>
      <c r="C14" s="17" t="n"/>
      <c r="D14" s="17" t="n"/>
      <c r="E14" s="17" t="n"/>
      <c r="F14" s="21">
        <f>IF(E14="","",TODAY()-E14)</f>
        <v/>
      </c>
      <c r="G14" s="17" t="n"/>
      <c r="H14" s="17" t="n"/>
      <c r="I14" s="22">
        <f>IF(H14="","",IF(AND(H14&lt;TODAY(),G14&lt;&gt;"Approved"),"⚠️ OVERDUE","OK"))</f>
        <v/>
      </c>
      <c r="J14" s="17" t="n"/>
      <c r="K14" s="17" t="n"/>
      <c r="L14" s="17" t="n"/>
      <c r="M14" s="17" t="n"/>
      <c r="N14" s="17" t="n"/>
    </row>
    <row r="15" ht="18" customHeight="1">
      <c r="A15" s="17" t="n"/>
      <c r="B15" s="17" t="n"/>
      <c r="C15" s="17" t="n"/>
      <c r="D15" s="17" t="n"/>
      <c r="E15" s="17" t="n"/>
      <c r="F15" s="21">
        <f>IF(E15="","",TODAY()-E15)</f>
        <v/>
      </c>
      <c r="G15" s="17" t="n"/>
      <c r="H15" s="17" t="n"/>
      <c r="I15" s="22">
        <f>IF(H15="","",IF(AND(H15&lt;TODAY(),G15&lt;&gt;"Approved"),"⚠️ OVERDUE","OK"))</f>
        <v/>
      </c>
      <c r="J15" s="17" t="n"/>
      <c r="K15" s="17" t="n"/>
      <c r="L15" s="17" t="n"/>
      <c r="M15" s="17" t="n"/>
      <c r="N15" s="17" t="n"/>
    </row>
    <row r="16" ht="18" customHeight="1">
      <c r="A16" s="17" t="n"/>
      <c r="B16" s="17" t="n"/>
      <c r="C16" s="17" t="n"/>
      <c r="D16" s="17" t="n"/>
      <c r="E16" s="17" t="n"/>
      <c r="F16" s="21">
        <f>IF(E16="","",TODAY()-E16)</f>
        <v/>
      </c>
      <c r="G16" s="17" t="n"/>
      <c r="H16" s="17" t="n"/>
      <c r="I16" s="22">
        <f>IF(H16="","",IF(AND(H16&lt;TODAY(),G16&lt;&gt;"Approved"),"⚠️ OVERDUE","OK"))</f>
        <v/>
      </c>
      <c r="J16" s="17" t="n"/>
      <c r="K16" s="17" t="n"/>
      <c r="L16" s="17" t="n"/>
      <c r="M16" s="17" t="n"/>
      <c r="N16" s="17" t="n"/>
    </row>
    <row r="17" ht="18" customHeight="1">
      <c r="A17" s="17" t="n"/>
      <c r="B17" s="17" t="n"/>
      <c r="C17" s="17" t="n"/>
      <c r="D17" s="17" t="n"/>
      <c r="E17" s="17" t="n"/>
      <c r="F17" s="21">
        <f>IF(E17="","",TODAY()-E17)</f>
        <v/>
      </c>
      <c r="G17" s="17" t="n"/>
      <c r="H17" s="17" t="n"/>
      <c r="I17" s="22">
        <f>IF(H17="","",IF(AND(H17&lt;TODAY(),G17&lt;&gt;"Approved"),"⚠️ OVERDUE","OK"))</f>
        <v/>
      </c>
      <c r="J17" s="17" t="n"/>
      <c r="K17" s="17" t="n"/>
      <c r="L17" s="17" t="n"/>
      <c r="M17" s="17" t="n"/>
      <c r="N17" s="17" t="n"/>
    </row>
    <row r="18" ht="18" customHeight="1">
      <c r="A18" s="17" t="n"/>
      <c r="B18" s="17" t="n"/>
      <c r="C18" s="17" t="n"/>
      <c r="D18" s="17" t="n"/>
      <c r="E18" s="17" t="n"/>
      <c r="F18" s="21">
        <f>IF(E18="","",TODAY()-E18)</f>
        <v/>
      </c>
      <c r="G18" s="17" t="n"/>
      <c r="H18" s="17" t="n"/>
      <c r="I18" s="22">
        <f>IF(H18="","",IF(AND(H18&lt;TODAY(),G18&lt;&gt;"Approved"),"⚠️ OVERDUE","OK"))</f>
        <v/>
      </c>
      <c r="J18" s="17" t="n"/>
      <c r="K18" s="17" t="n"/>
      <c r="L18" s="17" t="n"/>
      <c r="M18" s="17" t="n"/>
      <c r="N18" s="17" t="n"/>
    </row>
    <row r="19" ht="18" customHeight="1">
      <c r="A19" s="17" t="n"/>
      <c r="B19" s="17" t="n"/>
      <c r="C19" s="17" t="n"/>
      <c r="D19" s="17" t="n"/>
      <c r="E19" s="17" t="n"/>
      <c r="F19" s="21">
        <f>IF(E19="","",TODAY()-E19)</f>
        <v/>
      </c>
      <c r="G19" s="17" t="n"/>
      <c r="H19" s="17" t="n"/>
      <c r="I19" s="22">
        <f>IF(H19="","",IF(AND(H19&lt;TODAY(),G19&lt;&gt;"Approved"),"⚠️ OVERDUE","OK"))</f>
        <v/>
      </c>
      <c r="J19" s="17" t="n"/>
      <c r="K19" s="17" t="n"/>
      <c r="L19" s="17" t="n"/>
      <c r="M19" s="17" t="n"/>
      <c r="N19" s="17" t="n"/>
    </row>
    <row r="20" ht="18" customHeight="1">
      <c r="A20" s="17" t="n"/>
      <c r="B20" s="17" t="n"/>
      <c r="C20" s="17" t="n"/>
      <c r="D20" s="17" t="n"/>
      <c r="E20" s="17" t="n"/>
      <c r="F20" s="21">
        <f>IF(E20="","",TODAY()-E20)</f>
        <v/>
      </c>
      <c r="G20" s="17" t="n"/>
      <c r="H20" s="17" t="n"/>
      <c r="I20" s="22">
        <f>IF(H20="","",IF(AND(H20&lt;TODAY(),G20&lt;&gt;"Approved"),"⚠️ OVERDUE","OK"))</f>
        <v/>
      </c>
      <c r="J20" s="17" t="n"/>
      <c r="K20" s="17" t="n"/>
      <c r="L20" s="17" t="n"/>
      <c r="M20" s="17" t="n"/>
      <c r="N20" s="17" t="n"/>
    </row>
    <row r="21" ht="18" customHeight="1">
      <c r="A21" s="17" t="n"/>
      <c r="B21" s="17" t="n"/>
      <c r="C21" s="17" t="n"/>
      <c r="D21" s="17" t="n"/>
      <c r="E21" s="17" t="n"/>
      <c r="F21" s="21">
        <f>IF(E21="","",TODAY()-E21)</f>
        <v/>
      </c>
      <c r="G21" s="17" t="n"/>
      <c r="H21" s="17" t="n"/>
      <c r="I21" s="22">
        <f>IF(H21="","",IF(AND(H21&lt;TODAY(),G21&lt;&gt;"Approved"),"⚠️ OVERDUE","OK"))</f>
        <v/>
      </c>
      <c r="J21" s="17" t="n"/>
      <c r="K21" s="17" t="n"/>
      <c r="L21" s="17" t="n"/>
      <c r="M21" s="17" t="n"/>
      <c r="N21" s="17" t="n"/>
    </row>
    <row r="22" ht="18" customHeight="1">
      <c r="A22" s="17" t="n"/>
      <c r="B22" s="17" t="n"/>
      <c r="C22" s="17" t="n"/>
      <c r="D22" s="17" t="n"/>
      <c r="E22" s="17" t="n"/>
      <c r="F22" s="21">
        <f>IF(E22="","",TODAY()-E22)</f>
        <v/>
      </c>
      <c r="G22" s="17" t="n"/>
      <c r="H22" s="17" t="n"/>
      <c r="I22" s="22">
        <f>IF(H22="","",IF(AND(H22&lt;TODAY(),G22&lt;&gt;"Approved"),"⚠️ OVERDUE","OK"))</f>
        <v/>
      </c>
      <c r="J22" s="17" t="n"/>
      <c r="K22" s="17" t="n"/>
      <c r="L22" s="17" t="n"/>
      <c r="M22" s="17" t="n"/>
      <c r="N22" s="17" t="n"/>
    </row>
    <row r="23" ht="18" customHeight="1">
      <c r="A23" s="17" t="n"/>
      <c r="B23" s="17" t="n"/>
      <c r="C23" s="17" t="n"/>
      <c r="D23" s="17" t="n"/>
      <c r="E23" s="17" t="n"/>
      <c r="F23" s="21">
        <f>IF(E23="","",TODAY()-E23)</f>
        <v/>
      </c>
      <c r="G23" s="17" t="n"/>
      <c r="H23" s="17" t="n"/>
      <c r="I23" s="22">
        <f>IF(H23="","",IF(AND(H23&lt;TODAY(),G23&lt;&gt;"Approved"),"⚠️ OVERDUE","OK"))</f>
        <v/>
      </c>
      <c r="J23" s="17" t="n"/>
      <c r="K23" s="17" t="n"/>
      <c r="L23" s="17" t="n"/>
      <c r="M23" s="17" t="n"/>
      <c r="N23" s="17" t="n"/>
    </row>
    <row r="24" ht="18" customHeight="1">
      <c r="A24" s="17" t="n"/>
      <c r="B24" s="17" t="n"/>
      <c r="C24" s="17" t="n"/>
      <c r="D24" s="17" t="n"/>
      <c r="E24" s="17" t="n"/>
      <c r="F24" s="21">
        <f>IF(E24="","",TODAY()-E24)</f>
        <v/>
      </c>
      <c r="G24" s="17" t="n"/>
      <c r="H24" s="17" t="n"/>
      <c r="I24" s="22">
        <f>IF(H24="","",IF(AND(H24&lt;TODAY(),G24&lt;&gt;"Approved"),"⚠️ OVERDUE","OK"))</f>
        <v/>
      </c>
      <c r="J24" s="17" t="n"/>
      <c r="K24" s="17" t="n"/>
      <c r="L24" s="17" t="n"/>
      <c r="M24" s="17" t="n"/>
      <c r="N24" s="17" t="n"/>
    </row>
    <row r="25" ht="18" customHeight="1">
      <c r="A25" s="17" t="n"/>
      <c r="B25" s="17" t="n"/>
      <c r="C25" s="17" t="n"/>
      <c r="D25" s="17" t="n"/>
      <c r="E25" s="17" t="n"/>
      <c r="F25" s="21">
        <f>IF(E25="","",TODAY()-E25)</f>
        <v/>
      </c>
      <c r="G25" s="17" t="n"/>
      <c r="H25" s="17" t="n"/>
      <c r="I25" s="22">
        <f>IF(H25="","",IF(AND(H25&lt;TODAY(),G25&lt;&gt;"Approved"),"⚠️ OVERDUE","OK"))</f>
        <v/>
      </c>
      <c r="J25" s="17" t="n"/>
      <c r="K25" s="17" t="n"/>
      <c r="L25" s="17" t="n"/>
      <c r="M25" s="17" t="n"/>
      <c r="N25" s="17" t="n"/>
    </row>
    <row r="26" ht="18" customHeight="1">
      <c r="A26" s="17" t="n"/>
      <c r="B26" s="17" t="n"/>
      <c r="C26" s="17" t="n"/>
      <c r="D26" s="17" t="n"/>
      <c r="E26" s="17" t="n"/>
      <c r="F26" s="21">
        <f>IF(E26="","",TODAY()-E26)</f>
        <v/>
      </c>
      <c r="G26" s="17" t="n"/>
      <c r="H26" s="17" t="n"/>
      <c r="I26" s="22">
        <f>IF(H26="","",IF(AND(H26&lt;TODAY(),G26&lt;&gt;"Approved"),"⚠️ OVERDUE","OK"))</f>
        <v/>
      </c>
      <c r="J26" s="17" t="n"/>
      <c r="K26" s="17" t="n"/>
      <c r="L26" s="17" t="n"/>
      <c r="M26" s="17" t="n"/>
      <c r="N26" s="17" t="n"/>
    </row>
    <row r="27" ht="18" customHeight="1">
      <c r="A27" s="17" t="n"/>
      <c r="B27" s="17" t="n"/>
      <c r="C27" s="17" t="n"/>
      <c r="D27" s="17" t="n"/>
      <c r="E27" s="17" t="n"/>
      <c r="F27" s="21">
        <f>IF(E27="","",TODAY()-E27)</f>
        <v/>
      </c>
      <c r="G27" s="17" t="n"/>
      <c r="H27" s="17" t="n"/>
      <c r="I27" s="22">
        <f>IF(H27="","",IF(AND(H27&lt;TODAY(),G27&lt;&gt;"Approved"),"⚠️ OVERDUE","OK"))</f>
        <v/>
      </c>
      <c r="J27" s="17" t="n"/>
      <c r="K27" s="17" t="n"/>
      <c r="L27" s="17" t="n"/>
      <c r="M27" s="17" t="n"/>
      <c r="N27" s="17" t="n"/>
    </row>
    <row r="28" ht="18" customHeight="1">
      <c r="A28" s="17" t="n"/>
      <c r="B28" s="17" t="n"/>
      <c r="C28" s="17" t="n"/>
      <c r="D28" s="17" t="n"/>
      <c r="E28" s="17" t="n"/>
      <c r="F28" s="21">
        <f>IF(E28="","",TODAY()-E28)</f>
        <v/>
      </c>
      <c r="G28" s="17" t="n"/>
      <c r="H28" s="17" t="n"/>
      <c r="I28" s="22">
        <f>IF(H28="","",IF(AND(H28&lt;TODAY(),G28&lt;&gt;"Approved"),"⚠️ OVERDUE","OK"))</f>
        <v/>
      </c>
      <c r="J28" s="17" t="n"/>
      <c r="K28" s="17" t="n"/>
      <c r="L28" s="17" t="n"/>
      <c r="M28" s="17" t="n"/>
      <c r="N28" s="17" t="n"/>
    </row>
    <row r="29" ht="18" customHeight="1">
      <c r="A29" s="17" t="n"/>
      <c r="B29" s="17" t="n"/>
      <c r="C29" s="17" t="n"/>
      <c r="D29" s="17" t="n"/>
      <c r="E29" s="17" t="n"/>
      <c r="F29" s="21">
        <f>IF(E29="","",TODAY()-E29)</f>
        <v/>
      </c>
      <c r="G29" s="17" t="n"/>
      <c r="H29" s="17" t="n"/>
      <c r="I29" s="22">
        <f>IF(H29="","",IF(AND(H29&lt;TODAY(),G29&lt;&gt;"Approved"),"⚠️ OVERDUE","OK"))</f>
        <v/>
      </c>
      <c r="J29" s="17" t="n"/>
      <c r="K29" s="17" t="n"/>
      <c r="L29" s="17" t="n"/>
      <c r="M29" s="17" t="n"/>
      <c r="N29" s="17" t="n"/>
    </row>
    <row r="30" ht="18" customHeight="1">
      <c r="A30" s="17" t="n"/>
      <c r="B30" s="17" t="n"/>
      <c r="C30" s="17" t="n"/>
      <c r="D30" s="17" t="n"/>
      <c r="E30" s="17" t="n"/>
      <c r="F30" s="21">
        <f>IF(E30="","",TODAY()-E30)</f>
        <v/>
      </c>
      <c r="G30" s="17" t="n"/>
      <c r="H30" s="17" t="n"/>
      <c r="I30" s="22">
        <f>IF(H30="","",IF(AND(H30&lt;TODAY(),G30&lt;&gt;"Approved"),"⚠️ OVERDUE","OK"))</f>
        <v/>
      </c>
      <c r="J30" s="17" t="n"/>
      <c r="K30" s="17" t="n"/>
      <c r="L30" s="17" t="n"/>
      <c r="M30" s="17" t="n"/>
      <c r="N30" s="17" t="n"/>
    </row>
    <row r="31" ht="18" customHeight="1">
      <c r="A31" s="17" t="n"/>
      <c r="B31" s="17" t="n"/>
      <c r="C31" s="17" t="n"/>
      <c r="D31" s="17" t="n"/>
      <c r="E31" s="17" t="n"/>
      <c r="F31" s="21">
        <f>IF(E31="","",TODAY()-E31)</f>
        <v/>
      </c>
      <c r="G31" s="17" t="n"/>
      <c r="H31" s="17" t="n"/>
      <c r="I31" s="22">
        <f>IF(H31="","",IF(AND(H31&lt;TODAY(),G31&lt;&gt;"Approved"),"⚠️ OVERDUE","OK"))</f>
        <v/>
      </c>
      <c r="J31" s="17" t="n"/>
      <c r="K31" s="17" t="n"/>
      <c r="L31" s="17" t="n"/>
      <c r="M31" s="17" t="n"/>
      <c r="N31" s="17" t="n"/>
    </row>
    <row r="32" ht="18" customHeight="1">
      <c r="A32" s="17" t="n"/>
      <c r="B32" s="17" t="n"/>
      <c r="C32" s="17" t="n"/>
      <c r="D32" s="17" t="n"/>
      <c r="E32" s="17" t="n"/>
      <c r="F32" s="21">
        <f>IF(E32="","",TODAY()-E32)</f>
        <v/>
      </c>
      <c r="G32" s="17" t="n"/>
      <c r="H32" s="17" t="n"/>
      <c r="I32" s="22">
        <f>IF(H32="","",IF(AND(H32&lt;TODAY(),G32&lt;&gt;"Approved"),"⚠️ OVERDUE","OK"))</f>
        <v/>
      </c>
      <c r="J32" s="17" t="n"/>
      <c r="K32" s="17" t="n"/>
      <c r="L32" s="17" t="n"/>
      <c r="M32" s="17" t="n"/>
      <c r="N32" s="17" t="n"/>
    </row>
    <row r="33" ht="18" customHeight="1">
      <c r="A33" s="17" t="n"/>
      <c r="B33" s="17" t="n"/>
      <c r="C33" s="17" t="n"/>
      <c r="D33" s="17" t="n"/>
      <c r="E33" s="17" t="n"/>
      <c r="F33" s="21">
        <f>IF(E33="","",TODAY()-E33)</f>
        <v/>
      </c>
      <c r="G33" s="17" t="n"/>
      <c r="H33" s="17" t="n"/>
      <c r="I33" s="22">
        <f>IF(H33="","",IF(AND(H33&lt;TODAY(),G33&lt;&gt;"Approved"),"⚠️ OVERDUE","OK"))</f>
        <v/>
      </c>
      <c r="J33" s="17" t="n"/>
      <c r="K33" s="17" t="n"/>
      <c r="L33" s="17" t="n"/>
      <c r="M33" s="17" t="n"/>
      <c r="N33" s="17" t="n"/>
    </row>
    <row r="34" ht="18" customHeight="1">
      <c r="A34" s="17" t="n"/>
      <c r="B34" s="17" t="n"/>
      <c r="C34" s="17" t="n"/>
      <c r="D34" s="17" t="n"/>
      <c r="E34" s="17" t="n"/>
      <c r="F34" s="21">
        <f>IF(E34="","",TODAY()-E34)</f>
        <v/>
      </c>
      <c r="G34" s="17" t="n"/>
      <c r="H34" s="17" t="n"/>
      <c r="I34" s="22">
        <f>IF(H34="","",IF(AND(H34&lt;TODAY(),G34&lt;&gt;"Approved"),"⚠️ OVERDUE","OK"))</f>
        <v/>
      </c>
      <c r="J34" s="17" t="n"/>
      <c r="K34" s="17" t="n"/>
      <c r="L34" s="17" t="n"/>
      <c r="M34" s="17" t="n"/>
      <c r="N34" s="17" t="n"/>
    </row>
    <row r="35" ht="18" customHeight="1">
      <c r="A35" s="17" t="n"/>
      <c r="B35" s="17" t="n"/>
      <c r="C35" s="17" t="n"/>
      <c r="D35" s="17" t="n"/>
      <c r="E35" s="17" t="n"/>
      <c r="F35" s="21">
        <f>IF(E35="","",TODAY()-E35)</f>
        <v/>
      </c>
      <c r="G35" s="17" t="n"/>
      <c r="H35" s="17" t="n"/>
      <c r="I35" s="22">
        <f>IF(H35="","",IF(AND(H35&lt;TODAY(),G35&lt;&gt;"Approved"),"⚠️ OVERDUE","OK"))</f>
        <v/>
      </c>
      <c r="J35" s="17" t="n"/>
      <c r="K35" s="17" t="n"/>
      <c r="L35" s="17" t="n"/>
      <c r="M35" s="17" t="n"/>
      <c r="N35" s="17" t="n"/>
    </row>
    <row r="36" ht="18" customHeight="1">
      <c r="A36" s="17" t="n"/>
      <c r="B36" s="17" t="n"/>
      <c r="C36" s="17" t="n"/>
      <c r="D36" s="17" t="n"/>
      <c r="E36" s="17" t="n"/>
      <c r="F36" s="21">
        <f>IF(E36="","",TODAY()-E36)</f>
        <v/>
      </c>
      <c r="G36" s="17" t="n"/>
      <c r="H36" s="17" t="n"/>
      <c r="I36" s="22">
        <f>IF(H36="","",IF(AND(H36&lt;TODAY(),G36&lt;&gt;"Approved"),"⚠️ OVERDUE","OK"))</f>
        <v/>
      </c>
      <c r="J36" s="17" t="n"/>
      <c r="K36" s="17" t="n"/>
      <c r="L36" s="17" t="n"/>
      <c r="M36" s="17" t="n"/>
      <c r="N36" s="17" t="n"/>
    </row>
    <row r="37" ht="18" customHeight="1">
      <c r="A37" s="17" t="n"/>
      <c r="B37" s="17" t="n"/>
      <c r="C37" s="17" t="n"/>
      <c r="D37" s="17" t="n"/>
      <c r="E37" s="17" t="n"/>
      <c r="F37" s="21">
        <f>IF(E37="","",TODAY()-E37)</f>
        <v/>
      </c>
      <c r="G37" s="17" t="n"/>
      <c r="H37" s="17" t="n"/>
      <c r="I37" s="22">
        <f>IF(H37="","",IF(AND(H37&lt;TODAY(),G37&lt;&gt;"Approved"),"⚠️ OVERDUE","OK"))</f>
        <v/>
      </c>
      <c r="J37" s="17" t="n"/>
      <c r="K37" s="17" t="n"/>
      <c r="L37" s="17" t="n"/>
      <c r="M37" s="17" t="n"/>
      <c r="N37" s="17" t="n"/>
    </row>
    <row r="38" ht="18" customHeight="1">
      <c r="A38" s="17" t="n"/>
      <c r="B38" s="17" t="n"/>
      <c r="C38" s="17" t="n"/>
      <c r="D38" s="17" t="n"/>
      <c r="E38" s="17" t="n"/>
      <c r="F38" s="21">
        <f>IF(E38="","",TODAY()-E38)</f>
        <v/>
      </c>
      <c r="G38" s="17" t="n"/>
      <c r="H38" s="17" t="n"/>
      <c r="I38" s="22">
        <f>IF(H38="","",IF(AND(H38&lt;TODAY(),G38&lt;&gt;"Approved"),"⚠️ OVERDUE","OK"))</f>
        <v/>
      </c>
      <c r="J38" s="17" t="n"/>
      <c r="K38" s="17" t="n"/>
      <c r="L38" s="17" t="n"/>
      <c r="M38" s="17" t="n"/>
      <c r="N38" s="17" t="n"/>
    </row>
    <row r="39" ht="18" customHeight="1">
      <c r="A39" s="17" t="n"/>
      <c r="B39" s="17" t="n"/>
      <c r="C39" s="17" t="n"/>
      <c r="D39" s="17" t="n"/>
      <c r="E39" s="17" t="n"/>
      <c r="F39" s="21">
        <f>IF(E39="","",TODAY()-E39)</f>
        <v/>
      </c>
      <c r="G39" s="17" t="n"/>
      <c r="H39" s="17" t="n"/>
      <c r="I39" s="22">
        <f>IF(H39="","",IF(AND(H39&lt;TODAY(),G39&lt;&gt;"Approved"),"⚠️ OVERDUE","OK"))</f>
        <v/>
      </c>
      <c r="J39" s="17" t="n"/>
      <c r="K39" s="17" t="n"/>
      <c r="L39" s="17" t="n"/>
      <c r="M39" s="17" t="n"/>
      <c r="N39" s="17" t="n"/>
    </row>
    <row r="40" ht="18" customHeight="1">
      <c r="A40" s="17" t="n"/>
      <c r="B40" s="17" t="n"/>
      <c r="C40" s="17" t="n"/>
      <c r="D40" s="17" t="n"/>
      <c r="E40" s="17" t="n"/>
      <c r="F40" s="21">
        <f>IF(E40="","",TODAY()-E40)</f>
        <v/>
      </c>
      <c r="G40" s="17" t="n"/>
      <c r="H40" s="17" t="n"/>
      <c r="I40" s="22">
        <f>IF(H40="","",IF(AND(H40&lt;TODAY(),G40&lt;&gt;"Approved"),"⚠️ OVERDUE","OK"))</f>
        <v/>
      </c>
      <c r="J40" s="17" t="n"/>
      <c r="K40" s="17" t="n"/>
      <c r="L40" s="17" t="n"/>
      <c r="M40" s="17" t="n"/>
      <c r="N40" s="17" t="n"/>
    </row>
    <row r="41" ht="18" customHeight="1">
      <c r="A41" s="17" t="n"/>
      <c r="B41" s="17" t="n"/>
      <c r="C41" s="17" t="n"/>
      <c r="D41" s="17" t="n"/>
      <c r="E41" s="17" t="n"/>
      <c r="F41" s="21">
        <f>IF(E41="","",TODAY()-E41)</f>
        <v/>
      </c>
      <c r="G41" s="17" t="n"/>
      <c r="H41" s="17" t="n"/>
      <c r="I41" s="22">
        <f>IF(H41="","",IF(AND(H41&lt;TODAY(),G41&lt;&gt;"Approved"),"⚠️ OVERDUE","OK"))</f>
        <v/>
      </c>
      <c r="J41" s="17" t="n"/>
      <c r="K41" s="17" t="n"/>
      <c r="L41" s="17" t="n"/>
      <c r="M41" s="17" t="n"/>
      <c r="N41" s="17" t="n"/>
    </row>
    <row r="42" ht="18" customHeight="1">
      <c r="A42" s="17" t="n"/>
      <c r="B42" s="17" t="n"/>
      <c r="C42" s="17" t="n"/>
      <c r="D42" s="17" t="n"/>
      <c r="E42" s="17" t="n"/>
      <c r="F42" s="21">
        <f>IF(E42="","",TODAY()-E42)</f>
        <v/>
      </c>
      <c r="G42" s="17" t="n"/>
      <c r="H42" s="17" t="n"/>
      <c r="I42" s="22">
        <f>IF(H42="","",IF(AND(H42&lt;TODAY(),G42&lt;&gt;"Approved"),"⚠️ OVERDUE","OK"))</f>
        <v/>
      </c>
      <c r="J42" s="17" t="n"/>
      <c r="K42" s="17" t="n"/>
      <c r="L42" s="17" t="n"/>
      <c r="M42" s="17" t="n"/>
      <c r="N42" s="17" t="n"/>
    </row>
    <row r="43" ht="18" customHeight="1">
      <c r="A43" s="17" t="n"/>
      <c r="B43" s="17" t="n"/>
      <c r="C43" s="17" t="n"/>
      <c r="D43" s="17" t="n"/>
      <c r="E43" s="17" t="n"/>
      <c r="F43" s="21">
        <f>IF(E43="","",TODAY()-E43)</f>
        <v/>
      </c>
      <c r="G43" s="17" t="n"/>
      <c r="H43" s="17" t="n"/>
      <c r="I43" s="22">
        <f>IF(H43="","",IF(AND(H43&lt;TODAY(),G43&lt;&gt;"Approved"),"⚠️ OVERDUE","OK"))</f>
        <v/>
      </c>
      <c r="J43" s="17" t="n"/>
      <c r="K43" s="17" t="n"/>
      <c r="L43" s="17" t="n"/>
      <c r="M43" s="17" t="n"/>
      <c r="N43" s="17" t="n"/>
    </row>
    <row r="44" ht="18" customHeight="1">
      <c r="A44" s="17" t="n"/>
      <c r="B44" s="17" t="n"/>
      <c r="C44" s="17" t="n"/>
      <c r="D44" s="17" t="n"/>
      <c r="E44" s="17" t="n"/>
      <c r="F44" s="21">
        <f>IF(E44="","",TODAY()-E44)</f>
        <v/>
      </c>
      <c r="G44" s="17" t="n"/>
      <c r="H44" s="17" t="n"/>
      <c r="I44" s="22">
        <f>IF(H44="","",IF(AND(H44&lt;TODAY(),G44&lt;&gt;"Approved"),"⚠️ OVERDUE","OK"))</f>
        <v/>
      </c>
      <c r="J44" s="17" t="n"/>
      <c r="K44" s="17" t="n"/>
      <c r="L44" s="17" t="n"/>
      <c r="M44" s="17" t="n"/>
      <c r="N44" s="17" t="n"/>
    </row>
    <row r="45" ht="18" customHeight="1">
      <c r="A45" s="17" t="n"/>
      <c r="B45" s="17" t="n"/>
      <c r="C45" s="17" t="n"/>
      <c r="D45" s="17" t="n"/>
      <c r="E45" s="17" t="n"/>
      <c r="F45" s="21">
        <f>IF(E45="","",TODAY()-E45)</f>
        <v/>
      </c>
      <c r="G45" s="17" t="n"/>
      <c r="H45" s="17" t="n"/>
      <c r="I45" s="22">
        <f>IF(H45="","",IF(AND(H45&lt;TODAY(),G45&lt;&gt;"Approved"),"⚠️ OVERDUE","OK"))</f>
        <v/>
      </c>
      <c r="J45" s="17" t="n"/>
      <c r="K45" s="17" t="n"/>
      <c r="L45" s="17" t="n"/>
      <c r="M45" s="17" t="n"/>
      <c r="N45" s="17" t="n"/>
    </row>
    <row r="46" ht="18" customHeight="1">
      <c r="A46" s="17" t="n"/>
      <c r="B46" s="17" t="n"/>
      <c r="C46" s="17" t="n"/>
      <c r="D46" s="17" t="n"/>
      <c r="E46" s="17" t="n"/>
      <c r="F46" s="21">
        <f>IF(E46="","",TODAY()-E46)</f>
        <v/>
      </c>
      <c r="G46" s="17" t="n"/>
      <c r="H46" s="17" t="n"/>
      <c r="I46" s="22">
        <f>IF(H46="","",IF(AND(H46&lt;TODAY(),G46&lt;&gt;"Approved"),"⚠️ OVERDUE","OK"))</f>
        <v/>
      </c>
      <c r="J46" s="17" t="n"/>
      <c r="K46" s="17" t="n"/>
      <c r="L46" s="17" t="n"/>
      <c r="M46" s="17" t="n"/>
      <c r="N46" s="17" t="n"/>
    </row>
    <row r="47" ht="18" customHeight="1">
      <c r="A47" s="17" t="n"/>
      <c r="B47" s="17" t="n"/>
      <c r="C47" s="17" t="n"/>
      <c r="D47" s="17" t="n"/>
      <c r="E47" s="17" t="n"/>
      <c r="F47" s="21">
        <f>IF(E47="","",TODAY()-E47)</f>
        <v/>
      </c>
      <c r="G47" s="17" t="n"/>
      <c r="H47" s="17" t="n"/>
      <c r="I47" s="22">
        <f>IF(H47="","",IF(AND(H47&lt;TODAY(),G47&lt;&gt;"Approved"),"⚠️ OVERDUE","OK"))</f>
        <v/>
      </c>
      <c r="J47" s="17" t="n"/>
      <c r="K47" s="17" t="n"/>
      <c r="L47" s="17" t="n"/>
      <c r="M47" s="17" t="n"/>
      <c r="N47" s="17" t="n"/>
    </row>
    <row r="48" ht="18" customHeight="1">
      <c r="A48" s="17" t="n"/>
      <c r="B48" s="17" t="n"/>
      <c r="C48" s="17" t="n"/>
      <c r="D48" s="17" t="n"/>
      <c r="E48" s="17" t="n"/>
      <c r="F48" s="21">
        <f>IF(E48="","",TODAY()-E48)</f>
        <v/>
      </c>
      <c r="G48" s="17" t="n"/>
      <c r="H48" s="17" t="n"/>
      <c r="I48" s="22">
        <f>IF(H48="","",IF(AND(H48&lt;TODAY(),G48&lt;&gt;"Approved"),"⚠️ OVERDUE","OK"))</f>
        <v/>
      </c>
      <c r="J48" s="17" t="n"/>
      <c r="K48" s="17" t="n"/>
      <c r="L48" s="17" t="n"/>
      <c r="M48" s="17" t="n"/>
      <c r="N48" s="17" t="n"/>
    </row>
    <row r="49" ht="18" customHeight="1">
      <c r="A49" s="17" t="n"/>
      <c r="B49" s="17" t="n"/>
      <c r="C49" s="17" t="n"/>
      <c r="D49" s="17" t="n"/>
      <c r="E49" s="17" t="n"/>
      <c r="F49" s="21">
        <f>IF(E49="","",TODAY()-E49)</f>
        <v/>
      </c>
      <c r="G49" s="17" t="n"/>
      <c r="H49" s="17" t="n"/>
      <c r="I49" s="22">
        <f>IF(H49="","",IF(AND(H49&lt;TODAY(),G49&lt;&gt;"Approved"),"⚠️ OVERDUE","OK"))</f>
        <v/>
      </c>
      <c r="J49" s="17" t="n"/>
      <c r="K49" s="17" t="n"/>
      <c r="L49" s="17" t="n"/>
      <c r="M49" s="17" t="n"/>
      <c r="N49" s="17" t="n"/>
    </row>
    <row r="50" ht="18" customHeight="1">
      <c r="A50" s="17" t="n"/>
      <c r="B50" s="17" t="n"/>
      <c r="C50" s="17" t="n"/>
      <c r="D50" s="17" t="n"/>
      <c r="E50" s="17" t="n"/>
      <c r="F50" s="21">
        <f>IF(E50="","",TODAY()-E50)</f>
        <v/>
      </c>
      <c r="G50" s="17" t="n"/>
      <c r="H50" s="17" t="n"/>
      <c r="I50" s="22">
        <f>IF(H50="","",IF(AND(H50&lt;TODAY(),G50&lt;&gt;"Approved"),"⚠️ OVERDUE","OK"))</f>
        <v/>
      </c>
      <c r="J50" s="17" t="n"/>
      <c r="K50" s="17" t="n"/>
      <c r="L50" s="17" t="n"/>
      <c r="M50" s="17" t="n"/>
      <c r="N50" s="17" t="n"/>
    </row>
    <row r="51" ht="18" customHeight="1">
      <c r="A51" s="17" t="n"/>
      <c r="B51" s="17" t="n"/>
      <c r="C51" s="17" t="n"/>
      <c r="D51" s="17" t="n"/>
      <c r="E51" s="17" t="n"/>
      <c r="F51" s="21">
        <f>IF(E51="","",TODAY()-E51)</f>
        <v/>
      </c>
      <c r="G51" s="17" t="n"/>
      <c r="H51" s="17" t="n"/>
      <c r="I51" s="22">
        <f>IF(H51="","",IF(AND(H51&lt;TODAY(),G51&lt;&gt;"Approved"),"⚠️ OVERDUE","OK"))</f>
        <v/>
      </c>
      <c r="J51" s="17" t="n"/>
      <c r="K51" s="17" t="n"/>
      <c r="L51" s="17" t="n"/>
      <c r="M51" s="17" t="n"/>
      <c r="N51" s="17" t="n"/>
    </row>
    <row r="52" ht="18" customHeight="1">
      <c r="A52" s="17" t="n"/>
      <c r="B52" s="17" t="n"/>
      <c r="C52" s="17" t="n"/>
      <c r="D52" s="17" t="n"/>
      <c r="E52" s="17" t="n"/>
      <c r="F52" s="21">
        <f>IF(E52="","",TODAY()-E52)</f>
        <v/>
      </c>
      <c r="G52" s="17" t="n"/>
      <c r="H52" s="17" t="n"/>
      <c r="I52" s="22">
        <f>IF(H52="","",IF(AND(H52&lt;TODAY(),G52&lt;&gt;"Approved"),"⚠️ OVERDUE","OK"))</f>
        <v/>
      </c>
      <c r="J52" s="17" t="n"/>
      <c r="K52" s="17" t="n"/>
      <c r="L52" s="17" t="n"/>
      <c r="M52" s="17" t="n"/>
      <c r="N52" s="17" t="n"/>
    </row>
    <row r="53" ht="18" customHeight="1">
      <c r="A53" s="17" t="n"/>
      <c r="B53" s="17" t="n"/>
      <c r="C53" s="17" t="n"/>
      <c r="D53" s="17" t="n"/>
      <c r="E53" s="17" t="n"/>
      <c r="F53" s="21">
        <f>IF(E53="","",TODAY()-E53)</f>
        <v/>
      </c>
      <c r="G53" s="17" t="n"/>
      <c r="H53" s="17" t="n"/>
      <c r="I53" s="22">
        <f>IF(H53="","",IF(AND(H53&lt;TODAY(),G53&lt;&gt;"Approved"),"⚠️ OVERDUE","OK"))</f>
        <v/>
      </c>
      <c r="J53" s="17" t="n"/>
      <c r="K53" s="17" t="n"/>
      <c r="L53" s="17" t="n"/>
      <c r="M53" s="17" t="n"/>
      <c r="N53" s="17" t="n"/>
    </row>
    <row r="54" ht="18" customHeight="1">
      <c r="A54" s="17" t="n"/>
      <c r="B54" s="17" t="n"/>
      <c r="C54" s="17" t="n"/>
      <c r="D54" s="17" t="n"/>
      <c r="E54" s="17" t="n"/>
      <c r="F54" s="21">
        <f>IF(E54="","",TODAY()-E54)</f>
        <v/>
      </c>
      <c r="G54" s="17" t="n"/>
      <c r="H54" s="17" t="n"/>
      <c r="I54" s="22">
        <f>IF(H54="","",IF(AND(H54&lt;TODAY(),G54&lt;&gt;"Approved"),"⚠️ OVERDUE","OK"))</f>
        <v/>
      </c>
      <c r="J54" s="17" t="n"/>
      <c r="K54" s="17" t="n"/>
      <c r="L54" s="17" t="n"/>
      <c r="M54" s="17" t="n"/>
      <c r="N54" s="17" t="n"/>
    </row>
  </sheetData>
  <mergeCells count="2">
    <mergeCell ref="A2:N2"/>
    <mergeCell ref="A1:N1"/>
  </mergeCells>
  <conditionalFormatting sqref="G5:G1000">
    <cfRule type="expression" priority="1" dxfId="0">
      <formula>G5="Approved"</formula>
    </cfRule>
    <cfRule type="expression" priority="2" dxfId="1">
      <formula>G5="Info Requested"</formula>
    </cfRule>
    <cfRule type="expression" priority="3" dxfId="2">
      <formula>G5="Pending"</formula>
    </cfRule>
  </conditionalFormatting>
  <conditionalFormatting sqref="A5:N1000">
    <cfRule type="expression" priority="4" dxfId="3">
      <formula>$I5="⚠️ OVERDUE"</formula>
    </cfRule>
  </conditionalFormatting>
  <conditionalFormatting sqref="I5:I1000">
    <cfRule type="expression" priority="5" dxfId="1">
      <formula>I5="⚠️ OVERDUE"</formula>
    </cfRule>
  </conditionalFormatting>
  <conditionalFormatting sqref="F5:F1000">
    <cfRule type="cellIs" priority="6" operator="greaterThan" dxfId="2">
      <formula>90</formula>
    </cfRule>
  </conditionalFormatting>
  <dataValidations count="2">
    <dataValidation sqref="G5:G1000" showDropDown="0" showInputMessage="0" showErrorMessage="0" allowBlank="1" promptTitle="Status" prompt="Select application status" type="list">
      <formula1>"Not Started,Submitted,Pending,Info Requested,Approved,Effective,Denied,Re-cred Due"</formula1>
    </dataValidation>
    <dataValidation sqref="D5:D1000" showDropDown="0" showInputMessage="0" showErrorMessage="0" allowBlank="1" type="list">
      <formula1>"Initial Enrollment,Re-credentialing,Commercial,Medicare,Medicaid,Medicare Advantage,Workers Comp,Tricare"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50" customWidth="1" min="3" max="3"/>
  </cols>
  <sheetData>
    <row r="2" ht="28" customHeight="1">
      <c r="B2" s="23" t="inlineStr">
        <is>
          <t>STATUS COLOUR LEGEND</t>
        </is>
      </c>
    </row>
    <row r="4" ht="18" customHeight="1">
      <c r="B4" s="24" t="inlineStr">
        <is>
          <t>Not Started</t>
        </is>
      </c>
      <c r="C4" s="25" t="inlineStr">
        <is>
          <t>Application not yet submitted</t>
        </is>
      </c>
    </row>
    <row r="5" ht="18" customHeight="1">
      <c r="B5" s="26" t="inlineStr">
        <is>
          <t>Submitted</t>
        </is>
      </c>
      <c r="C5" s="27" t="inlineStr">
        <is>
          <t>Application sent — awaiting acknowledgment</t>
        </is>
      </c>
    </row>
    <row r="6" ht="18" customHeight="1">
      <c r="B6" s="28" t="inlineStr">
        <is>
          <t>Pending</t>
        </is>
      </c>
      <c r="C6" s="29" t="inlineStr">
        <is>
          <t>In payer review queue — follow up every 3 weeks</t>
        </is>
      </c>
    </row>
    <row r="7" ht="18" customHeight="1">
      <c r="B7" s="30" t="inlineStr">
        <is>
          <t>Info Requested</t>
        </is>
      </c>
      <c r="C7" s="31" t="inlineStr">
        <is>
          <t>⚠️ Payer needs documents — respond within 48 hours</t>
        </is>
      </c>
    </row>
    <row r="8" ht="18" customHeight="1">
      <c r="B8" s="32" t="inlineStr">
        <is>
          <t>Approved</t>
        </is>
      </c>
      <c r="C8" s="33" t="inlineStr">
        <is>
          <t>✅ Credentialing approved — confirm effective date</t>
        </is>
      </c>
    </row>
    <row r="9" ht="18" customHeight="1">
      <c r="B9" s="32" t="inlineStr">
        <is>
          <t>Effective</t>
        </is>
      </c>
      <c r="C9" s="33" t="inlineStr">
        <is>
          <t>Live and billing — verify test claim processed</t>
        </is>
      </c>
    </row>
    <row r="10" ht="18" customHeight="1">
      <c r="B10" s="34" t="inlineStr">
        <is>
          <t>Denied</t>
        </is>
      </c>
      <c r="C10" s="31" t="inlineStr">
        <is>
          <t>Rejected — see notes for reason and appeal plan</t>
        </is>
      </c>
    </row>
    <row r="11" ht="18" customHeight="1">
      <c r="B11" s="28" t="inlineStr">
        <is>
          <t>Re-cred Due</t>
        </is>
      </c>
      <c r="C11" s="29" t="inlineStr">
        <is>
          <t>Re-credentialing deadline within 90 days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2026-08-05T03:57:26Z</dcterms:created>
  <dcterms:modified xsi:type="dcterms:W3CDTF">2026-08-05T03:57:26Z</dcterms:modified>
</cp:coreProperties>
</file>