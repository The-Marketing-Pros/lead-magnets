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&quot; d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color rgb="001B3A6B"/>
      <sz val="12"/>
    </font>
    <font>
      <name val="Calibri"/>
      <i val="1"/>
      <color rgb="00F59E0B"/>
      <sz val="10"/>
    </font>
    <font>
      <name val="Calibri"/>
      <b val="1"/>
      <color rgb="00FFFFFF"/>
      <sz val="10"/>
    </font>
    <font>
      <name val="Calibri"/>
      <b val="1"/>
      <color rgb="001B3A6B"/>
      <sz val="11"/>
    </font>
    <font>
      <name val="Calibri"/>
      <b val="1"/>
      <color rgb="001D4ED8"/>
      <sz val="10"/>
    </font>
    <font>
      <name val="Calibri"/>
      <color rgb="001E293B"/>
      <sz val="10"/>
    </font>
    <font>
      <name val="Calibri"/>
      <i val="1"/>
      <color rgb="0064748B"/>
      <sz val="10"/>
    </font>
    <font>
      <name val="Calibri"/>
      <b val="1"/>
      <color rgb="00F59E0B"/>
      <sz val="11"/>
    </font>
    <font>
      <name val="Calibri"/>
      <b val="1"/>
      <sz val="10"/>
    </font>
    <font>
      <name val="Calibri"/>
      <b val="1"/>
      <color rgb="0092400E"/>
      <sz val="10"/>
    </font>
    <font>
      <name val="Calibri"/>
      <b val="1"/>
      <color rgb="00065F46"/>
      <sz val="10"/>
    </font>
    <font>
      <name val="Calibri"/>
      <b val="1"/>
      <color rgb="006B21A8"/>
      <sz val="10"/>
    </font>
    <font>
      <name val="Calibri"/>
      <b val="1"/>
      <color rgb="00BE123C"/>
      <sz val="10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EA5E9"/>
      </patternFill>
    </fill>
    <fill>
      <patternFill patternType="solid">
        <fgColor rgb="00FEF9C3"/>
      </patternFill>
    </fill>
    <fill>
      <patternFill patternType="solid">
        <fgColor rgb="0064748B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3E8FF"/>
      </patternFill>
    </fill>
    <fill>
      <patternFill patternType="solid">
        <fgColor rgb="00FFE4E6"/>
      </patternFill>
    </fill>
  </fills>
  <borders count="3">
    <border>
      <left/>
      <right/>
      <top/>
      <bottom/>
      <diagonal/>
    </border>
    <border>
      <left style="medium">
        <color rgb="00F59E0B"/>
      </left>
      <right style="medium">
        <color rgb="00F59E0B"/>
      </right>
      <top style="medium">
        <color rgb="00F59E0B"/>
      </top>
      <bottom style="medium">
        <color rgb="00F59E0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166" fontId="11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Calibri"/>
        <strike val="1"/>
        <color rgb="00065F46"/>
        <sz val="10"/>
      </font>
      <fill>
        <patternFill patternType="solid">
          <fgColor rgb="00D1FAE5"/>
        </patternFill>
      </fill>
    </dxf>
    <dxf>
      <font>
        <name val="Calibri"/>
        <b val="1"/>
        <color rgb="001D4ED8"/>
        <sz val="10"/>
      </font>
      <fill>
        <patternFill patternType="solid">
          <fgColor rgb="00EFF6FF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</patternFill>
      </fill>
    </dxf>
    <dxf>
      <font>
        <name val="Calibri"/>
        <b val="1"/>
        <color rgb="0078350F"/>
        <sz val="10"/>
      </font>
      <fill>
        <patternFill patternType="solid">
          <fgColor rgb="00FFFBEB"/>
        </patternFill>
      </fill>
    </dxf>
    <dxf>
      <font>
        <name val="Calibri"/>
        <b val="1"/>
        <color rgb="0092400E"/>
        <sz val="10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2" customWidth="1" min="4" max="4"/>
    <col width="14" customWidth="1" min="5" max="5"/>
    <col width="10" customWidth="1" min="6" max="6"/>
    <col width="12" customWidth="1" min="7" max="7"/>
    <col width="16" customWidth="1" min="8" max="8"/>
    <col width="14" customWidth="1" min="9" max="9"/>
    <col width="28" customWidth="1" min="10" max="10"/>
  </cols>
  <sheetData>
    <row r="1" ht="36" customHeight="1">
      <c r="A1" s="1" t="inlineStr">
        <is>
          <t>PROVIDER CREDENTIALING TIMELINE  ·  The Marketing Pros</t>
        </is>
      </c>
    </row>
    <row r="2" ht="28" customHeight="1">
      <c r="A2" s="2" t="inlineStr">
        <is>
          <t>📅  START DATE  →</t>
        </is>
      </c>
      <c r="D2" s="3" t="n">
        <v>46238</v>
      </c>
      <c r="E2" s="4" t="inlineStr">
        <is>
          <t>← Change this date. All milestone dates update automatically.</t>
        </is>
      </c>
    </row>
    <row r="3" ht="22" customHeight="1">
      <c r="A3" s="5" t="inlineStr">
        <is>
          <t>OVERALL PROGRESS</t>
        </is>
      </c>
      <c r="D3" s="6">
        <f>TEXT(COUNTIF(H6:H100,"Complete")/COUNTA(A6:A100),"0%")&amp;" complete  ("&amp;COUNTIF(H6:H100,"Complete")&amp;" of "&amp;COUNTA(A6:A100)&amp;" tasks)"</f>
        <v/>
      </c>
    </row>
    <row r="4" ht="8" customHeight="1"/>
    <row r="5" ht="26" customHeight="1">
      <c r="A5" s="7" t="inlineStr">
        <is>
          <t>PHASE</t>
        </is>
      </c>
      <c r="B5" s="7" t="inlineStr">
        <is>
          <t>TASK</t>
        </is>
      </c>
      <c r="C5" s="7" t="inlineStr">
        <is>
          <t>OWNER</t>
        </is>
      </c>
      <c r="D5" s="7" t="inlineStr">
        <is>
          <t>WEEK TARGET</t>
        </is>
      </c>
      <c r="E5" s="7" t="inlineStr">
        <is>
          <t>TARGET DATE</t>
        </is>
      </c>
      <c r="F5" s="7" t="inlineStr">
        <is>
          <t>TODAY?</t>
        </is>
      </c>
      <c r="G5" s="7" t="inlineStr">
        <is>
          <t>DAYS TO DUE</t>
        </is>
      </c>
      <c r="H5" s="7" t="inlineStr">
        <is>
          <t>STATUS</t>
        </is>
      </c>
      <c r="I5" s="7" t="inlineStr">
        <is>
          <t>COMPLETE DATE</t>
        </is>
      </c>
      <c r="J5" s="7" t="inlineStr">
        <is>
          <t>NOTES</t>
        </is>
      </c>
    </row>
    <row r="6" ht="20" customHeight="1">
      <c r="A6" s="8" t="inlineStr">
        <is>
          <t>Pre-App Prep</t>
        </is>
      </c>
      <c r="B6" s="9" t="inlineStr">
        <is>
          <t>Collect all provider documents</t>
        </is>
      </c>
      <c r="C6" s="10" t="inlineStr">
        <is>
          <t>Practice Mgr</t>
        </is>
      </c>
      <c r="D6" s="11" t="inlineStr">
        <is>
          <t>Week 1</t>
        </is>
      </c>
      <c r="E6" s="12">
        <f>$D$2+7</f>
        <v/>
      </c>
      <c r="F6" s="13">
        <f>IF(E6="On Approval","",IF(AND(TODAY()&gt;=E6,TODAY()&lt;E6+7),"▶ NOW",""))</f>
        <v/>
      </c>
      <c r="G6" s="14">
        <f>IF(E6="On Approval","",E6-TODAY())</f>
        <v/>
      </c>
      <c r="H6" s="11" t="inlineStr">
        <is>
          <t>Not Started</t>
        </is>
      </c>
      <c r="I6" s="12" t="n"/>
      <c r="J6" s="15" t="n"/>
    </row>
    <row r="7" ht="20" customHeight="1">
      <c r="A7" s="8" t="inlineStr">
        <is>
          <t>Pre-App Prep</t>
        </is>
      </c>
      <c r="B7" s="9" t="inlineStr">
        <is>
          <t>Verify NPI — check NPPES registry</t>
        </is>
      </c>
      <c r="C7" s="10" t="inlineStr">
        <is>
          <t>Practice Mgr</t>
        </is>
      </c>
      <c r="D7" s="11" t="inlineStr">
        <is>
          <t>Week 1</t>
        </is>
      </c>
      <c r="E7" s="12">
        <f>$D$2+7</f>
        <v/>
      </c>
      <c r="F7" s="13">
        <f>IF(E7="On Approval","",IF(AND(TODAY()&gt;=E7,TODAY()&lt;E7+7),"▶ NOW",""))</f>
        <v/>
      </c>
      <c r="G7" s="14">
        <f>IF(E7="On Approval","",E7-TODAY())</f>
        <v/>
      </c>
      <c r="H7" s="11" t="inlineStr">
        <is>
          <t>Not Started</t>
        </is>
      </c>
      <c r="I7" s="12" t="n"/>
      <c r="J7" s="15" t="n"/>
    </row>
    <row r="8" ht="20" customHeight="1">
      <c r="A8" s="8" t="inlineStr">
        <is>
          <t>Pre-App Prep</t>
        </is>
      </c>
      <c r="B8" s="9" t="inlineStr">
        <is>
          <t>Create / update CAQH ProView profile</t>
        </is>
      </c>
      <c r="C8" s="10" t="inlineStr">
        <is>
          <t>Cred Specialist</t>
        </is>
      </c>
      <c r="D8" s="11" t="inlineStr">
        <is>
          <t>Week 1</t>
        </is>
      </c>
      <c r="E8" s="12">
        <f>$D$2+7</f>
        <v/>
      </c>
      <c r="F8" s="13">
        <f>IF(E8="On Approval","",IF(AND(TODAY()&gt;=E8,TODAY()&lt;E8+7),"▶ NOW",""))</f>
        <v/>
      </c>
      <c r="G8" s="14">
        <f>IF(E8="On Approval","",E8-TODAY())</f>
        <v/>
      </c>
      <c r="H8" s="11" t="inlineStr">
        <is>
          <t>Not Started</t>
        </is>
      </c>
      <c r="I8" s="12" t="n"/>
      <c r="J8" s="15" t="n"/>
    </row>
    <row r="9" ht="20" customHeight="1">
      <c r="A9" s="8" t="inlineStr">
        <is>
          <t>Pre-App Prep</t>
        </is>
      </c>
      <c r="B9" s="9" t="inlineStr">
        <is>
          <t>Upload all documents to CAQH</t>
        </is>
      </c>
      <c r="C9" s="10" t="inlineStr">
        <is>
          <t>Cred Specialist</t>
        </is>
      </c>
      <c r="D9" s="11" t="inlineStr">
        <is>
          <t>Week 1</t>
        </is>
      </c>
      <c r="E9" s="12">
        <f>$D$2+9</f>
        <v/>
      </c>
      <c r="F9" s="13">
        <f>IF(E9="On Approval","",IF(AND(TODAY()&gt;=E9,TODAY()&lt;E9+7),"▶ NOW",""))</f>
        <v/>
      </c>
      <c r="G9" s="14">
        <f>IF(E9="On Approval","",E9-TODAY())</f>
        <v/>
      </c>
      <c r="H9" s="11" t="inlineStr">
        <is>
          <t>Not Started</t>
        </is>
      </c>
      <c r="I9" s="12" t="n"/>
      <c r="J9" s="15" t="n"/>
    </row>
    <row r="10" ht="20" customHeight="1">
      <c r="A10" s="8" t="inlineStr">
        <is>
          <t>Pre-App Prep</t>
        </is>
      </c>
      <c r="B10" s="9" t="inlineStr">
        <is>
          <t>Grant payer authorizations in CAQH</t>
        </is>
      </c>
      <c r="C10" s="10" t="inlineStr">
        <is>
          <t>Cred Specialist</t>
        </is>
      </c>
      <c r="D10" s="11" t="inlineStr">
        <is>
          <t>Week 1</t>
        </is>
      </c>
      <c r="E10" s="12">
        <f>$D$2+9</f>
        <v/>
      </c>
      <c r="F10" s="13">
        <f>IF(E10="On Approval","",IF(AND(TODAY()&gt;=E10,TODAY()&lt;E10+7),"▶ NOW",""))</f>
        <v/>
      </c>
      <c r="G10" s="14">
        <f>IF(E10="On Approval","",E10-TODAY())</f>
        <v/>
      </c>
      <c r="H10" s="11" t="inlineStr">
        <is>
          <t>Not Started</t>
        </is>
      </c>
      <c r="I10" s="12" t="n"/>
      <c r="J10" s="15" t="n"/>
    </row>
    <row r="11" ht="20" customHeight="1">
      <c r="A11" s="8" t="inlineStr">
        <is>
          <t>Pre-App Prep</t>
        </is>
      </c>
      <c r="B11" s="9" t="inlineStr">
        <is>
          <t>Complete CAQH attestation</t>
        </is>
      </c>
      <c r="C11" s="10" t="inlineStr">
        <is>
          <t>Provider</t>
        </is>
      </c>
      <c r="D11" s="11" t="inlineStr">
        <is>
          <t>Week 1</t>
        </is>
      </c>
      <c r="E11" s="12">
        <f>$D$2+10</f>
        <v/>
      </c>
      <c r="F11" s="13">
        <f>IF(E11="On Approval","",IF(AND(TODAY()&gt;=E11,TODAY()&lt;E11+7),"▶ NOW",""))</f>
        <v/>
      </c>
      <c r="G11" s="14">
        <f>IF(E11="On Approval","",E11-TODAY())</f>
        <v/>
      </c>
      <c r="H11" s="11" t="inlineStr">
        <is>
          <t>Not Started</t>
        </is>
      </c>
      <c r="I11" s="12" t="n"/>
      <c r="J11" s="15" t="n"/>
    </row>
    <row r="12" ht="20" customHeight="1">
      <c r="A12" s="8" t="inlineStr">
        <is>
          <t>Pre-App Prep</t>
        </is>
      </c>
      <c r="B12" s="9" t="inlineStr">
        <is>
          <t>Build payer priority matrix — rank applications</t>
        </is>
      </c>
      <c r="C12" s="10" t="inlineStr">
        <is>
          <t>Practice Mgr</t>
        </is>
      </c>
      <c r="D12" s="11" t="inlineStr">
        <is>
          <t>Week 1</t>
        </is>
      </c>
      <c r="E12" s="12">
        <f>$D$2+7</f>
        <v/>
      </c>
      <c r="F12" s="13">
        <f>IF(E12="On Approval","",IF(AND(TODAY()&gt;=E12,TODAY()&lt;E12+7),"▶ NOW",""))</f>
        <v/>
      </c>
      <c r="G12" s="14">
        <f>IF(E12="On Approval","",E12-TODAY())</f>
        <v/>
      </c>
      <c r="H12" s="11" t="inlineStr">
        <is>
          <t>Not Started</t>
        </is>
      </c>
      <c r="I12" s="12" t="n"/>
      <c r="J12" s="15" t="n"/>
    </row>
    <row r="13" ht="20" customHeight="1">
      <c r="A13" s="8" t="inlineStr">
        <is>
          <t>Pre-App Prep</t>
        </is>
      </c>
      <c r="B13" s="9" t="inlineStr">
        <is>
          <t>Confirm malpractice coverage is adequate</t>
        </is>
      </c>
      <c r="C13" s="10" t="inlineStr">
        <is>
          <t>Practice Mgr</t>
        </is>
      </c>
      <c r="D13" s="11" t="inlineStr">
        <is>
          <t>Week 2</t>
        </is>
      </c>
      <c r="E13" s="12">
        <f>$D$2+14</f>
        <v/>
      </c>
      <c r="F13" s="13">
        <f>IF(E13="On Approval","",IF(AND(TODAY()&gt;=E13,TODAY()&lt;E13+7),"▶ NOW",""))</f>
        <v/>
      </c>
      <c r="G13" s="14">
        <f>IF(E13="On Approval","",E13-TODAY())</f>
        <v/>
      </c>
      <c r="H13" s="11" t="inlineStr">
        <is>
          <t>Not Started</t>
        </is>
      </c>
      <c r="I13" s="12" t="n"/>
      <c r="J13" s="15" t="n"/>
    </row>
    <row r="14" ht="20" customHeight="1">
      <c r="A14" s="16" t="inlineStr">
        <is>
          <t>Submission</t>
        </is>
      </c>
      <c r="B14" s="9" t="inlineStr">
        <is>
          <t>Submit Medicare PECOS enrollment</t>
        </is>
      </c>
      <c r="C14" s="10" t="inlineStr">
        <is>
          <t>Cred Specialist</t>
        </is>
      </c>
      <c r="D14" s="11" t="inlineStr">
        <is>
          <t>Week 2</t>
        </is>
      </c>
      <c r="E14" s="12">
        <f>$D$2+14</f>
        <v/>
      </c>
      <c r="F14" s="13">
        <f>IF(E14="On Approval","",IF(AND(TODAY()&gt;=E14,TODAY()&lt;E14+7),"▶ NOW",""))</f>
        <v/>
      </c>
      <c r="G14" s="14">
        <f>IF(E14="On Approval","",E14-TODAY())</f>
        <v/>
      </c>
      <c r="H14" s="11" t="inlineStr">
        <is>
          <t>Not Started</t>
        </is>
      </c>
      <c r="I14" s="12" t="n"/>
      <c r="J14" s="15" t="n"/>
    </row>
    <row r="15" ht="20" customHeight="1">
      <c r="A15" s="16" t="inlineStr">
        <is>
          <t>Submission</t>
        </is>
      </c>
      <c r="B15" s="9" t="inlineStr">
        <is>
          <t>Submit Medicaid enrollment (state portal)</t>
        </is>
      </c>
      <c r="C15" s="10" t="inlineStr">
        <is>
          <t>Cred Specialist</t>
        </is>
      </c>
      <c r="D15" s="11" t="inlineStr">
        <is>
          <t>Week 2</t>
        </is>
      </c>
      <c r="E15" s="12">
        <f>$D$2+14</f>
        <v/>
      </c>
      <c r="F15" s="13">
        <f>IF(E15="On Approval","",IF(AND(TODAY()&gt;=E15,TODAY()&lt;E15+7),"▶ NOW",""))</f>
        <v/>
      </c>
      <c r="G15" s="14">
        <f>IF(E15="On Approval","",E15-TODAY())</f>
        <v/>
      </c>
      <c r="H15" s="11" t="inlineStr">
        <is>
          <t>Not Started</t>
        </is>
      </c>
      <c r="I15" s="12" t="n"/>
      <c r="J15" s="15" t="n"/>
    </row>
    <row r="16" ht="20" customHeight="1">
      <c r="A16" s="16" t="inlineStr">
        <is>
          <t>Submission</t>
        </is>
      </c>
      <c r="B16" s="9" t="inlineStr">
        <is>
          <t>Submit BCBS application</t>
        </is>
      </c>
      <c r="C16" s="10" t="inlineStr">
        <is>
          <t>Cred Specialist</t>
        </is>
      </c>
      <c r="D16" s="11" t="inlineStr">
        <is>
          <t>Week 2</t>
        </is>
      </c>
      <c r="E16" s="12">
        <f>$D$2+14</f>
        <v/>
      </c>
      <c r="F16" s="13">
        <f>IF(E16="On Approval","",IF(AND(TODAY()&gt;=E16,TODAY()&lt;E16+7),"▶ NOW",""))</f>
        <v/>
      </c>
      <c r="G16" s="14">
        <f>IF(E16="On Approval","",E16-TODAY())</f>
        <v/>
      </c>
      <c r="H16" s="11" t="inlineStr">
        <is>
          <t>Not Started</t>
        </is>
      </c>
      <c r="I16" s="12" t="n"/>
      <c r="J16" s="15" t="n"/>
    </row>
    <row r="17" ht="20" customHeight="1">
      <c r="A17" s="16" t="inlineStr">
        <is>
          <t>Submission</t>
        </is>
      </c>
      <c r="B17" s="9" t="inlineStr">
        <is>
          <t>Submit Aetna application</t>
        </is>
      </c>
      <c r="C17" s="10" t="inlineStr">
        <is>
          <t>Cred Specialist</t>
        </is>
      </c>
      <c r="D17" s="11" t="inlineStr">
        <is>
          <t>Week 3</t>
        </is>
      </c>
      <c r="E17" s="12">
        <f>$D$2+21</f>
        <v/>
      </c>
      <c r="F17" s="13">
        <f>IF(E17="On Approval","",IF(AND(TODAY()&gt;=E17,TODAY()&lt;E17+7),"▶ NOW",""))</f>
        <v/>
      </c>
      <c r="G17" s="14">
        <f>IF(E17="On Approval","",E17-TODAY())</f>
        <v/>
      </c>
      <c r="H17" s="11" t="inlineStr">
        <is>
          <t>Not Started</t>
        </is>
      </c>
      <c r="I17" s="12" t="n"/>
      <c r="J17" s="15" t="n"/>
    </row>
    <row r="18" ht="20" customHeight="1">
      <c r="A18" s="16" t="inlineStr">
        <is>
          <t>Submission</t>
        </is>
      </c>
      <c r="B18" s="9" t="inlineStr">
        <is>
          <t>Submit UnitedHealthcare application</t>
        </is>
      </c>
      <c r="C18" s="10" t="inlineStr">
        <is>
          <t>Cred Specialist</t>
        </is>
      </c>
      <c r="D18" s="11" t="inlineStr">
        <is>
          <t>Week 3</t>
        </is>
      </c>
      <c r="E18" s="12">
        <f>$D$2+21</f>
        <v/>
      </c>
      <c r="F18" s="13">
        <f>IF(E18="On Approval","",IF(AND(TODAY()&gt;=E18,TODAY()&lt;E18+7),"▶ NOW",""))</f>
        <v/>
      </c>
      <c r="G18" s="14">
        <f>IF(E18="On Approval","",E18-TODAY())</f>
        <v/>
      </c>
      <c r="H18" s="11" t="inlineStr">
        <is>
          <t>Not Started</t>
        </is>
      </c>
      <c r="I18" s="12" t="n"/>
      <c r="J18" s="15" t="n"/>
    </row>
    <row r="19" ht="20" customHeight="1">
      <c r="A19" s="16" t="inlineStr">
        <is>
          <t>Submission</t>
        </is>
      </c>
      <c r="B19" s="9" t="inlineStr">
        <is>
          <t>Submit Cigna application</t>
        </is>
      </c>
      <c r="C19" s="10" t="inlineStr">
        <is>
          <t>Cred Specialist</t>
        </is>
      </c>
      <c r="D19" s="11" t="inlineStr">
        <is>
          <t>Week 3</t>
        </is>
      </c>
      <c r="E19" s="12">
        <f>$D$2+21</f>
        <v/>
      </c>
      <c r="F19" s="13">
        <f>IF(E19="On Approval","",IF(AND(TODAY()&gt;=E19,TODAY()&lt;E19+7),"▶ NOW",""))</f>
        <v/>
      </c>
      <c r="G19" s="14">
        <f>IF(E19="On Approval","",E19-TODAY())</f>
        <v/>
      </c>
      <c r="H19" s="11" t="inlineStr">
        <is>
          <t>Not Started</t>
        </is>
      </c>
      <c r="I19" s="12" t="n"/>
      <c r="J19" s="15" t="n"/>
    </row>
    <row r="20" ht="20" customHeight="1">
      <c r="A20" s="16" t="inlineStr">
        <is>
          <t>Submission</t>
        </is>
      </c>
      <c r="B20" s="9" t="inlineStr">
        <is>
          <t>Submit additional payer applications</t>
        </is>
      </c>
      <c r="C20" s="10" t="inlineStr">
        <is>
          <t>Cred Specialist</t>
        </is>
      </c>
      <c r="D20" s="11" t="inlineStr">
        <is>
          <t>Week 4</t>
        </is>
      </c>
      <c r="E20" s="12">
        <f>$D$2+28</f>
        <v/>
      </c>
      <c r="F20" s="13">
        <f>IF(E20="On Approval","",IF(AND(TODAY()&gt;=E20,TODAY()&lt;E20+7),"▶ NOW",""))</f>
        <v/>
      </c>
      <c r="G20" s="14">
        <f>IF(E20="On Approval","",E20-TODAY())</f>
        <v/>
      </c>
      <c r="H20" s="11" t="inlineStr">
        <is>
          <t>Not Started</t>
        </is>
      </c>
      <c r="I20" s="12" t="n"/>
      <c r="J20" s="15" t="n"/>
    </row>
    <row r="21" ht="20" customHeight="1">
      <c r="A21" s="16" t="inlineStr">
        <is>
          <t>Submission</t>
        </is>
      </c>
      <c r="B21" s="9" t="inlineStr">
        <is>
          <t>Log all confirmation numbers + contacts</t>
        </is>
      </c>
      <c r="C21" s="10" t="inlineStr">
        <is>
          <t>Cred Specialist</t>
        </is>
      </c>
      <c r="D21" s="11" t="inlineStr">
        <is>
          <t>Week 4</t>
        </is>
      </c>
      <c r="E21" s="12">
        <f>$D$2+28</f>
        <v/>
      </c>
      <c r="F21" s="13">
        <f>IF(E21="On Approval","",IF(AND(TODAY()&gt;=E21,TODAY()&lt;E21+7),"▶ NOW",""))</f>
        <v/>
      </c>
      <c r="G21" s="14">
        <f>IF(E21="On Approval","",E21-TODAY())</f>
        <v/>
      </c>
      <c r="H21" s="11" t="inlineStr">
        <is>
          <t>Not Started</t>
        </is>
      </c>
      <c r="I21" s="12" t="n"/>
      <c r="J21" s="15" t="n"/>
    </row>
    <row r="22" ht="20" customHeight="1">
      <c r="A22" s="17" t="inlineStr">
        <is>
          <t>Follow-Up</t>
        </is>
      </c>
      <c r="B22" s="9" t="inlineStr">
        <is>
          <t>Follow up with all payers — 1st check</t>
        </is>
      </c>
      <c r="C22" s="10" t="inlineStr">
        <is>
          <t>Cred Specialist</t>
        </is>
      </c>
      <c r="D22" s="11" t="inlineStr">
        <is>
          <t>Week 5</t>
        </is>
      </c>
      <c r="E22" s="12">
        <f>$D$2+35</f>
        <v/>
      </c>
      <c r="F22" s="13">
        <f>IF(E22="On Approval","",IF(AND(TODAY()&gt;=E22,TODAY()&lt;E22+7),"▶ NOW",""))</f>
        <v/>
      </c>
      <c r="G22" s="14">
        <f>IF(E22="On Approval","",E22-TODAY())</f>
        <v/>
      </c>
      <c r="H22" s="11" t="inlineStr">
        <is>
          <t>Not Started</t>
        </is>
      </c>
      <c r="I22" s="12" t="n"/>
      <c r="J22" s="15" t="n"/>
    </row>
    <row r="23" ht="20" customHeight="1">
      <c r="A23" s="17" t="inlineStr">
        <is>
          <t>Follow-Up</t>
        </is>
      </c>
      <c r="B23" s="9" t="inlineStr">
        <is>
          <t>Re-attest CAQH if approaching 120-day expiry</t>
        </is>
      </c>
      <c r="C23" s="10" t="inlineStr">
        <is>
          <t>Provider</t>
        </is>
      </c>
      <c r="D23" s="11" t="inlineStr">
        <is>
          <t>Week 8</t>
        </is>
      </c>
      <c r="E23" s="12">
        <f>$D$2+56</f>
        <v/>
      </c>
      <c r="F23" s="13">
        <f>IF(E23="On Approval","",IF(AND(TODAY()&gt;=E23,TODAY()&lt;E23+7),"▶ NOW",""))</f>
        <v/>
      </c>
      <c r="G23" s="14">
        <f>IF(E23="On Approval","",E23-TODAY())</f>
        <v/>
      </c>
      <c r="H23" s="11" t="inlineStr">
        <is>
          <t>Not Started</t>
        </is>
      </c>
      <c r="I23" s="12" t="n"/>
      <c r="J23" s="15" t="n"/>
    </row>
    <row r="24" ht="20" customHeight="1">
      <c r="A24" s="17" t="inlineStr">
        <is>
          <t>Follow-Up</t>
        </is>
      </c>
      <c r="B24" s="9" t="inlineStr">
        <is>
          <t>Follow up with all payers — 2nd check</t>
        </is>
      </c>
      <c r="C24" s="10" t="inlineStr">
        <is>
          <t>Cred Specialist</t>
        </is>
      </c>
      <c r="D24" s="11" t="inlineStr">
        <is>
          <t>Week 8</t>
        </is>
      </c>
      <c r="E24" s="12">
        <f>$D$2+56</f>
        <v/>
      </c>
      <c r="F24" s="13">
        <f>IF(E24="On Approval","",IF(AND(TODAY()&gt;=E24,TODAY()&lt;E24+7),"▶ NOW",""))</f>
        <v/>
      </c>
      <c r="G24" s="14">
        <f>IF(E24="On Approval","",E24-TODAY())</f>
        <v/>
      </c>
      <c r="H24" s="11" t="inlineStr">
        <is>
          <t>Not Started</t>
        </is>
      </c>
      <c r="I24" s="12" t="n"/>
      <c r="J24" s="15" t="n"/>
    </row>
    <row r="25" ht="20" customHeight="1">
      <c r="A25" s="17" t="inlineStr">
        <is>
          <t>Follow-Up</t>
        </is>
      </c>
      <c r="B25" s="9" t="inlineStr">
        <is>
          <t>Follow up with all payers — 3rd check</t>
        </is>
      </c>
      <c r="C25" s="10" t="inlineStr">
        <is>
          <t>Cred Specialist</t>
        </is>
      </c>
      <c r="D25" s="11" t="inlineStr">
        <is>
          <t>Week 11</t>
        </is>
      </c>
      <c r="E25" s="12">
        <f>$D$2+77</f>
        <v/>
      </c>
      <c r="F25" s="13">
        <f>IF(E25="On Approval","",IF(AND(TODAY()&gt;=E25,TODAY()&lt;E25+7),"▶ NOW",""))</f>
        <v/>
      </c>
      <c r="G25" s="14">
        <f>IF(E25="On Approval","",E25-TODAY())</f>
        <v/>
      </c>
      <c r="H25" s="11" t="inlineStr">
        <is>
          <t>Not Started</t>
        </is>
      </c>
      <c r="I25" s="12" t="n"/>
      <c r="J25" s="15" t="n"/>
    </row>
    <row r="26" ht="20" customHeight="1">
      <c r="A26" s="17" t="inlineStr">
        <is>
          <t>Follow-Up</t>
        </is>
      </c>
      <c r="B26" s="9" t="inlineStr">
        <is>
          <t>Escalate any application &gt;90 days no movement</t>
        </is>
      </c>
      <c r="C26" s="10" t="inlineStr">
        <is>
          <t>Cred Specialist</t>
        </is>
      </c>
      <c r="D26" s="11" t="inlineStr">
        <is>
          <t>Week 13</t>
        </is>
      </c>
      <c r="E26" s="12">
        <f>$D$2+91</f>
        <v/>
      </c>
      <c r="F26" s="13">
        <f>IF(E26="On Approval","",IF(AND(TODAY()&gt;=E26,TODAY()&lt;E26+7),"▶ NOW",""))</f>
        <v/>
      </c>
      <c r="G26" s="14">
        <f>IF(E26="On Approval","",E26-TODAY())</f>
        <v/>
      </c>
      <c r="H26" s="11" t="inlineStr">
        <is>
          <t>Not Started</t>
        </is>
      </c>
      <c r="I26" s="12" t="n"/>
      <c r="J26" s="15" t="n"/>
    </row>
    <row r="27" ht="20" customHeight="1">
      <c r="A27" s="17" t="inlineStr">
        <is>
          <t>Follow-Up</t>
        </is>
      </c>
      <c r="B27" s="9" t="inlineStr">
        <is>
          <t>Follow up with all payers — 4th check</t>
        </is>
      </c>
      <c r="C27" s="10" t="inlineStr">
        <is>
          <t>Cred Specialist</t>
        </is>
      </c>
      <c r="D27" s="11" t="inlineStr">
        <is>
          <t>Week 14</t>
        </is>
      </c>
      <c r="E27" s="12">
        <f>$D$2+98</f>
        <v/>
      </c>
      <c r="F27" s="13">
        <f>IF(E27="On Approval","",IF(AND(TODAY()&gt;=E27,TODAY()&lt;E27+7),"▶ NOW",""))</f>
        <v/>
      </c>
      <c r="G27" s="14">
        <f>IF(E27="On Approval","",E27-TODAY())</f>
        <v/>
      </c>
      <c r="H27" s="11" t="inlineStr">
        <is>
          <t>Not Started</t>
        </is>
      </c>
      <c r="I27" s="12" t="n"/>
      <c r="J27" s="15" t="n"/>
    </row>
    <row r="28" ht="20" customHeight="1">
      <c r="A28" s="18" t="inlineStr">
        <is>
          <t>Go-Live</t>
        </is>
      </c>
      <c r="B28" s="9" t="inlineStr">
        <is>
          <t>Get written effective date — each payer</t>
        </is>
      </c>
      <c r="C28" s="10" t="inlineStr">
        <is>
          <t>Cred Specialist</t>
        </is>
      </c>
      <c r="D28" s="11" t="inlineStr">
        <is>
          <t>On Approval</t>
        </is>
      </c>
      <c r="E28" s="11" t="inlineStr">
        <is>
          <t>On Approval</t>
        </is>
      </c>
      <c r="F28" s="13">
        <f>IF(E28="On Approval","",IF(AND(TODAY()&gt;=E28,TODAY()&lt;E28+7),"▶ NOW",""))</f>
        <v/>
      </c>
      <c r="G28" s="14">
        <f>IF(E28="On Approval","",E28-TODAY())</f>
        <v/>
      </c>
      <c r="H28" s="11" t="inlineStr">
        <is>
          <t>Not Started</t>
        </is>
      </c>
      <c r="I28" s="12" t="n"/>
      <c r="J28" s="15" t="n"/>
    </row>
    <row r="29" ht="20" customHeight="1">
      <c r="A29" s="18" t="inlineStr">
        <is>
          <t>Go-Live</t>
        </is>
      </c>
      <c r="B29" s="9" t="inlineStr">
        <is>
          <t>Add provider to PM / billing system</t>
        </is>
      </c>
      <c r="C29" s="10" t="inlineStr">
        <is>
          <t>Billing Mgr</t>
        </is>
      </c>
      <c r="D29" s="11" t="inlineStr">
        <is>
          <t>On Approval</t>
        </is>
      </c>
      <c r="E29" s="11" t="inlineStr">
        <is>
          <t>On Approval</t>
        </is>
      </c>
      <c r="F29" s="13">
        <f>IF(E29="On Approval","",IF(AND(TODAY()&gt;=E29,TODAY()&lt;E29+7),"▶ NOW",""))</f>
        <v/>
      </c>
      <c r="G29" s="14">
        <f>IF(E29="On Approval","",E29-TODAY())</f>
        <v/>
      </c>
      <c r="H29" s="11" t="inlineStr">
        <is>
          <t>Not Started</t>
        </is>
      </c>
      <c r="I29" s="12" t="n"/>
      <c r="J29" s="15" t="n"/>
    </row>
    <row r="30" ht="20" customHeight="1">
      <c r="A30" s="18" t="inlineStr">
        <is>
          <t>Go-Live</t>
        </is>
      </c>
      <c r="B30" s="9" t="inlineStr">
        <is>
          <t>Verify EDI/ERA enrollment active</t>
        </is>
      </c>
      <c r="C30" s="10" t="inlineStr">
        <is>
          <t>Billing Mgr</t>
        </is>
      </c>
      <c r="D30" s="11" t="inlineStr">
        <is>
          <t>Week 1</t>
        </is>
      </c>
      <c r="E30" s="12">
        <f>$D$2+3</f>
        <v/>
      </c>
      <c r="F30" s="13">
        <f>IF(E30="On Approval","",IF(AND(TODAY()&gt;=E30,TODAY()&lt;E30+7),"▶ NOW",""))</f>
        <v/>
      </c>
      <c r="G30" s="14">
        <f>IF(E30="On Approval","",E30-TODAY())</f>
        <v/>
      </c>
      <c r="H30" s="11" t="inlineStr">
        <is>
          <t>Not Started</t>
        </is>
      </c>
      <c r="I30" s="12" t="n"/>
      <c r="J30" s="15" t="n"/>
    </row>
    <row r="31" ht="20" customHeight="1">
      <c r="A31" s="18" t="inlineStr">
        <is>
          <t>Go-Live</t>
        </is>
      </c>
      <c r="B31" s="9" t="inlineStr">
        <is>
          <t>Submit test claim — verify it processes</t>
        </is>
      </c>
      <c r="C31" s="10" t="inlineStr">
        <is>
          <t>Billing Mgr</t>
        </is>
      </c>
      <c r="D31" s="11" t="inlineStr">
        <is>
          <t>Week 1</t>
        </is>
      </c>
      <c r="E31" s="12">
        <f>$D$2+3</f>
        <v/>
      </c>
      <c r="F31" s="13">
        <f>IF(E31="On Approval","",IF(AND(TODAY()&gt;=E31,TODAY()&lt;E31+7),"▶ NOW",""))</f>
        <v/>
      </c>
      <c r="G31" s="14">
        <f>IF(E31="On Approval","",E31-TODAY())</f>
        <v/>
      </c>
      <c r="H31" s="11" t="inlineStr">
        <is>
          <t>Not Started</t>
        </is>
      </c>
      <c r="I31" s="12" t="n"/>
      <c r="J31" s="15" t="n"/>
    </row>
    <row r="32" ht="20" customHeight="1">
      <c r="A32" s="18" t="inlineStr">
        <is>
          <t>Go-Live</t>
        </is>
      </c>
      <c r="B32" s="9" t="inlineStr">
        <is>
          <t>Confirm fee schedule rates match contract</t>
        </is>
      </c>
      <c r="C32" s="10" t="inlineStr">
        <is>
          <t>Billing Mgr</t>
        </is>
      </c>
      <c r="D32" s="11" t="inlineStr">
        <is>
          <t>Week 2</t>
        </is>
      </c>
      <c r="E32" s="12">
        <f>$D$2+14</f>
        <v/>
      </c>
      <c r="F32" s="13">
        <f>IF(E32="On Approval","",IF(AND(TODAY()&gt;=E32,TODAY()&lt;E32+7),"▶ NOW",""))</f>
        <v/>
      </c>
      <c r="G32" s="14">
        <f>IF(E32="On Approval","",E32-TODAY())</f>
        <v/>
      </c>
      <c r="H32" s="11" t="inlineStr">
        <is>
          <t>Not Started</t>
        </is>
      </c>
      <c r="I32" s="12" t="n"/>
      <c r="J32" s="15" t="n"/>
    </row>
    <row r="33" ht="20" customHeight="1">
      <c r="A33" s="18" t="inlineStr">
        <is>
          <t>Go-Live</t>
        </is>
      </c>
      <c r="B33" s="9" t="inlineStr">
        <is>
          <t>Update payer provider directory listings</t>
        </is>
      </c>
      <c r="C33" s="10" t="inlineStr">
        <is>
          <t>Cred Specialist</t>
        </is>
      </c>
      <c r="D33" s="11" t="inlineStr">
        <is>
          <t>Week 4</t>
        </is>
      </c>
      <c r="E33" s="12">
        <f>$D$2+30</f>
        <v/>
      </c>
      <c r="F33" s="13">
        <f>IF(E33="On Approval","",IF(AND(TODAY()&gt;=E33,TODAY()&lt;E33+7),"▶ NOW",""))</f>
        <v/>
      </c>
      <c r="G33" s="14">
        <f>IF(E33="On Approval","",E33-TODAY())</f>
        <v/>
      </c>
      <c r="H33" s="11" t="inlineStr">
        <is>
          <t>Not Started</t>
        </is>
      </c>
      <c r="I33" s="12" t="n"/>
      <c r="J33" s="15" t="n"/>
    </row>
    <row r="34" ht="20" customHeight="1">
      <c r="A34" s="19" t="inlineStr">
        <is>
          <t>Maintenance</t>
        </is>
      </c>
      <c r="B34" s="9" t="inlineStr">
        <is>
          <t>Set re-credentialing reminders (2–3 yr cycles)</t>
        </is>
      </c>
      <c r="C34" s="10" t="inlineStr">
        <is>
          <t>Cred Specialist</t>
        </is>
      </c>
      <c r="D34" s="11" t="inlineStr">
        <is>
          <t>On Approval</t>
        </is>
      </c>
      <c r="E34" s="11" t="inlineStr">
        <is>
          <t>On Approval</t>
        </is>
      </c>
      <c r="F34" s="13">
        <f>IF(E34="On Approval","",IF(AND(TODAY()&gt;=E34,TODAY()&lt;E34+7),"▶ NOW",""))</f>
        <v/>
      </c>
      <c r="G34" s="14">
        <f>IF(E34="On Approval","",E34-TODAY())</f>
        <v/>
      </c>
      <c r="H34" s="11" t="inlineStr">
        <is>
          <t>Not Started</t>
        </is>
      </c>
      <c r="I34" s="12" t="n"/>
      <c r="J34" s="15" t="n"/>
    </row>
    <row r="35" ht="20" customHeight="1">
      <c r="A35" s="19" t="inlineStr">
        <is>
          <t>Maintenance</t>
        </is>
      </c>
      <c r="B35" s="9" t="inlineStr">
        <is>
          <t>Set CAQH re-attestation recurring (90 days)</t>
        </is>
      </c>
      <c r="C35" s="10" t="inlineStr">
        <is>
          <t>Provider</t>
        </is>
      </c>
      <c r="D35" s="11" t="inlineStr">
        <is>
          <t>On Approval</t>
        </is>
      </c>
      <c r="E35" s="11" t="inlineStr">
        <is>
          <t>On Approval</t>
        </is>
      </c>
      <c r="F35" s="13">
        <f>IF(E35="On Approval","",IF(AND(TODAY()&gt;=E35,TODAY()&lt;E35+7),"▶ NOW",""))</f>
        <v/>
      </c>
      <c r="G35" s="14">
        <f>IF(E35="On Approval","",E35-TODAY())</f>
        <v/>
      </c>
      <c r="H35" s="11" t="inlineStr">
        <is>
          <t>Not Started</t>
        </is>
      </c>
      <c r="I35" s="12" t="n"/>
      <c r="J35" s="15" t="n"/>
    </row>
    <row r="36" ht="20" customHeight="1">
      <c r="A36" s="19" t="inlineStr">
        <is>
          <t>Maintenance</t>
        </is>
      </c>
      <c r="B36" s="9" t="inlineStr">
        <is>
          <t>Set license + DEA renewal reminders (60d out)</t>
        </is>
      </c>
      <c r="C36" s="10" t="inlineStr">
        <is>
          <t>Practice Mgr</t>
        </is>
      </c>
      <c r="D36" s="11" t="inlineStr">
        <is>
          <t>On Approval</t>
        </is>
      </c>
      <c r="E36" s="11" t="inlineStr">
        <is>
          <t>On Approval</t>
        </is>
      </c>
      <c r="F36" s="13">
        <f>IF(E36="On Approval","",IF(AND(TODAY()&gt;=E36,TODAY()&lt;E36+7),"▶ NOW",""))</f>
        <v/>
      </c>
      <c r="G36" s="14">
        <f>IF(E36="On Approval","",E36-TODAY())</f>
        <v/>
      </c>
      <c r="H36" s="11" t="inlineStr">
        <is>
          <t>Not Started</t>
        </is>
      </c>
      <c r="I36" s="12" t="n"/>
      <c r="J36" s="15" t="n"/>
    </row>
    <row r="37" ht="20" customHeight="1">
      <c r="A37" s="19" t="inlineStr">
        <is>
          <t>Maintenance</t>
        </is>
      </c>
      <c r="B37" s="9" t="inlineStr">
        <is>
          <t>Quarterly underpayment audit vs. contract</t>
        </is>
      </c>
      <c r="C37" s="10" t="inlineStr">
        <is>
          <t>Billing Mgr</t>
        </is>
      </c>
      <c r="D37" s="11" t="inlineStr">
        <is>
          <t>Week 13</t>
        </is>
      </c>
      <c r="E37" s="12">
        <f>$D$2+90</f>
        <v/>
      </c>
      <c r="F37" s="13">
        <f>IF(E37="On Approval","",IF(AND(TODAY()&gt;=E37,TODAY()&lt;E37+7),"▶ NOW",""))</f>
        <v/>
      </c>
      <c r="G37" s="14">
        <f>IF(E37="On Approval","",E37-TODAY())</f>
        <v/>
      </c>
      <c r="H37" s="11" t="inlineStr">
        <is>
          <t>Not Started</t>
        </is>
      </c>
      <c r="I37" s="12" t="n"/>
      <c r="J37" s="15" t="n"/>
    </row>
    <row r="38" ht="20" customHeight="1">
      <c r="A38" s="19" t="inlineStr">
        <is>
          <t>Maintenance</t>
        </is>
      </c>
      <c r="B38" s="9" t="inlineStr">
        <is>
          <t>Annual payer contract review</t>
        </is>
      </c>
      <c r="C38" s="10" t="inlineStr">
        <is>
          <t>Practice Mgr</t>
        </is>
      </c>
      <c r="D38" s="11" t="inlineStr">
        <is>
          <t>Week 52</t>
        </is>
      </c>
      <c r="E38" s="12">
        <f>$D$2+365</f>
        <v/>
      </c>
      <c r="F38" s="13">
        <f>IF(E38="On Approval","",IF(AND(TODAY()&gt;=E38,TODAY()&lt;E38+7),"▶ NOW",""))</f>
        <v/>
      </c>
      <c r="G38" s="14">
        <f>IF(E38="On Approval","",E38-TODAY())</f>
        <v/>
      </c>
      <c r="H38" s="11" t="inlineStr">
        <is>
          <t>Not Started</t>
        </is>
      </c>
      <c r="I38" s="12" t="n"/>
      <c r="J38" s="15" t="n"/>
    </row>
  </sheetData>
  <mergeCells count="5">
    <mergeCell ref="A1:J1"/>
    <mergeCell ref="D3:J3"/>
    <mergeCell ref="E2:F2"/>
    <mergeCell ref="A3:C3"/>
    <mergeCell ref="A2:C2"/>
  </mergeCells>
  <conditionalFormatting sqref="A6:J38">
    <cfRule type="expression" priority="1" dxfId="0">
      <formula>$H6="Complete"</formula>
    </cfRule>
    <cfRule type="expression" priority="2" dxfId="1">
      <formula>$H6="In Progress"</formula>
    </cfRule>
    <cfRule type="expression" priority="3" dxfId="2">
      <formula>$H6="Blocked"</formula>
    </cfRule>
    <cfRule type="expression" priority="4" dxfId="3">
      <formula>$F6="▶ NOW"</formula>
    </cfRule>
  </conditionalFormatting>
  <conditionalFormatting sqref="G6:G38">
    <cfRule type="cellIs" priority="5" operator="lessThan" dxfId="2">
      <formula>0</formula>
    </cfRule>
    <cfRule type="cellIs" priority="6" operator="between" dxfId="4">
      <formula>0</formula>
      <formula>7</formula>
    </cfRule>
  </conditionalFormatting>
  <dataValidations count="1">
    <dataValidation sqref="H6:H38" showDropDown="0" showInputMessage="0" showErrorMessage="0" allowBlank="1" type="list">
      <formula1>"Not Started,In Progress,Complete,Blocked,Skipped,Recurring"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2026-08-05T01:19:11Z</dcterms:created>
  <dcterms:modified xsi:type="dcterms:W3CDTF">2026-08-05T01:19:11Z</dcterms:modified>
</cp:coreProperties>
</file>